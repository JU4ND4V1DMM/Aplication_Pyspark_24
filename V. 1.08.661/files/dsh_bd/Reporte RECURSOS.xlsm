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uan_\Downloads\"/>
    </mc:Choice>
  </mc:AlternateContent>
  <xr:revisionPtr revIDLastSave="0" documentId="13_ncr:1_{98E35F9D-E05C-4E7E-A9F8-95F1FF2FAFE3}" xr6:coauthVersionLast="47" xr6:coauthVersionMax="47" xr10:uidLastSave="{00000000-0000-0000-0000-000000000000}"/>
  <bookViews>
    <workbookView xWindow="-120" yWindow="-120" windowWidth="38640" windowHeight="15720" firstSheet="1" activeTab="2" xr2:uid="{4A1918C6-C596-4B1D-85DC-AD61677B6357}"/>
  </bookViews>
  <sheets>
    <sheet name=" " sheetId="3" state="veryHidden" r:id="rId1"/>
    <sheet name="Data" sheetId="2" r:id="rId2"/>
    <sheet name="Dashboard" sheetId="6" r:id="rId3"/>
    <sheet name="Consolidado" sheetId="8" r:id="rId4"/>
    <sheet name="Costo Mensual" sheetId="5" r:id="rId5"/>
  </sheets>
  <definedNames>
    <definedName name="MARCAS">' '!$E$1:$E$13</definedName>
    <definedName name="MARCAS_">' '!$E$1:$E$13</definedName>
    <definedName name="MARCAS_GMAC">' '!$E$1:$E$14</definedName>
    <definedName name="MULTICAMPAÑAS">' '!$E$1:$E$15</definedName>
    <definedName name="NativeTimeline_FECHA">#N/A</definedName>
    <definedName name="NativeTimeline_FECHA_HORA">#N/A</definedName>
  </definedNames>
  <calcPr calcId="191029"/>
  <pivotCaches>
    <pivotCache cacheId="77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2" i="3" l="1"/>
  <c r="AH3" i="3"/>
  <c r="AH4" i="3"/>
  <c r="AH5" i="3"/>
  <c r="AH6" i="3"/>
  <c r="AH7" i="3"/>
  <c r="AH8" i="3"/>
  <c r="AH1" i="3"/>
  <c r="I2" i="3"/>
  <c r="I3" i="3"/>
  <c r="I4" i="3"/>
  <c r="I5" i="3"/>
  <c r="I6" i="3"/>
  <c r="I7" i="3"/>
  <c r="I8" i="3"/>
  <c r="I9" i="3"/>
  <c r="I10" i="3"/>
  <c r="I11" i="3"/>
  <c r="I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" i="3"/>
  <c r="C2" i="3"/>
  <c r="J13" i="5"/>
  <c r="G218" i="2" l="1"/>
  <c r="H218" i="2"/>
  <c r="G220" i="2"/>
  <c r="G221" i="2"/>
  <c r="G216" i="2"/>
  <c r="G217" i="2"/>
  <c r="H220" i="2"/>
  <c r="H221" i="2"/>
  <c r="H216" i="2"/>
  <c r="H217" i="2"/>
  <c r="D13" i="5"/>
  <c r="P13" i="5" s="1"/>
  <c r="G208" i="2"/>
  <c r="H208" i="2"/>
  <c r="G223" i="2"/>
  <c r="H223" i="2"/>
  <c r="G222" i="2"/>
  <c r="H222" i="2"/>
  <c r="G214" i="2"/>
  <c r="H214" i="2"/>
  <c r="G219" i="2"/>
  <c r="H219" i="2"/>
  <c r="G211" i="2"/>
  <c r="G212" i="2"/>
  <c r="G209" i="2"/>
  <c r="G210" i="2"/>
  <c r="G215" i="2"/>
  <c r="H211" i="2"/>
  <c r="H212" i="2"/>
  <c r="H209" i="2"/>
  <c r="H210" i="2"/>
  <c r="H215" i="2"/>
  <c r="G213" i="2"/>
  <c r="H213" i="2"/>
  <c r="G189" i="2"/>
  <c r="G197" i="2"/>
  <c r="G198" i="2"/>
  <c r="G199" i="2"/>
  <c r="G203" i="2"/>
  <c r="G202" i="2"/>
  <c r="G204" i="2"/>
  <c r="G207" i="2"/>
  <c r="G193" i="2"/>
  <c r="G196" i="2"/>
  <c r="G200" i="2"/>
  <c r="G201" i="2"/>
  <c r="H189" i="2"/>
  <c r="H197" i="2"/>
  <c r="H198" i="2"/>
  <c r="H199" i="2"/>
  <c r="H203" i="2"/>
  <c r="H202" i="2"/>
  <c r="H204" i="2"/>
  <c r="H207" i="2"/>
  <c r="H193" i="2"/>
  <c r="H196" i="2"/>
  <c r="H200" i="2"/>
  <c r="H201" i="2"/>
  <c r="H190" i="2"/>
  <c r="G190" i="2"/>
  <c r="G194" i="2"/>
  <c r="G195" i="2"/>
  <c r="G191" i="2"/>
  <c r="G192" i="2"/>
  <c r="H194" i="2"/>
  <c r="H195" i="2"/>
  <c r="H191" i="2"/>
  <c r="H192" i="2"/>
  <c r="G206" i="2"/>
  <c r="H206" i="2"/>
  <c r="G205" i="2"/>
  <c r="H205" i="2"/>
  <c r="D12" i="5"/>
  <c r="P12" i="5" s="1"/>
  <c r="G188" i="2"/>
  <c r="H188" i="2"/>
  <c r="G187" i="2"/>
  <c r="H187" i="2"/>
  <c r="G186" i="2"/>
  <c r="H186" i="2"/>
  <c r="G185" i="2"/>
  <c r="H185" i="2"/>
  <c r="G184" i="2"/>
  <c r="H184" i="2"/>
  <c r="G183" i="2"/>
  <c r="G178" i="2"/>
  <c r="H183" i="2"/>
  <c r="H178" i="2"/>
  <c r="G179" i="2"/>
  <c r="G180" i="2"/>
  <c r="G181" i="2"/>
  <c r="G182" i="2"/>
  <c r="H179" i="2"/>
  <c r="H180" i="2"/>
  <c r="H181" i="2"/>
  <c r="H182" i="2"/>
  <c r="G175" i="2"/>
  <c r="H175" i="2"/>
  <c r="G174" i="2"/>
  <c r="H174" i="2"/>
  <c r="G173" i="2"/>
  <c r="H173" i="2"/>
  <c r="G172" i="2"/>
  <c r="H172" i="2"/>
  <c r="G177" i="2"/>
  <c r="H177" i="2"/>
  <c r="G176" i="2"/>
  <c r="H176" i="2"/>
  <c r="G171" i="2"/>
  <c r="H171" i="2"/>
  <c r="G170" i="2"/>
  <c r="H170" i="2"/>
  <c r="D11" i="5"/>
  <c r="J11" i="5"/>
  <c r="P11" i="5" s="1"/>
  <c r="G164" i="2"/>
  <c r="H164" i="2"/>
  <c r="G169" i="2"/>
  <c r="G165" i="2"/>
  <c r="H169" i="2"/>
  <c r="H165" i="2"/>
  <c r="G166" i="2"/>
  <c r="G167" i="2"/>
  <c r="H166" i="2"/>
  <c r="H167" i="2"/>
  <c r="G162" i="2"/>
  <c r="G168" i="2"/>
  <c r="H162" i="2"/>
  <c r="H168" i="2"/>
  <c r="G161" i="2"/>
  <c r="H161" i="2"/>
  <c r="G153" i="2"/>
  <c r="G160" i="2"/>
  <c r="G163" i="2"/>
  <c r="H153" i="2"/>
  <c r="H160" i="2"/>
  <c r="H163" i="2"/>
  <c r="G152" i="2"/>
  <c r="H152" i="2"/>
  <c r="G149" i="2"/>
  <c r="H149" i="2"/>
  <c r="G148" i="2"/>
  <c r="H148" i="2"/>
  <c r="G144" i="2"/>
  <c r="H144" i="2"/>
  <c r="G143" i="2"/>
  <c r="H143" i="2"/>
  <c r="G142" i="2"/>
  <c r="H142" i="2"/>
  <c r="G141" i="2"/>
  <c r="H141" i="2"/>
  <c r="G157" i="2"/>
  <c r="H157" i="2"/>
  <c r="G156" i="2"/>
  <c r="H156" i="2"/>
  <c r="G147" i="2"/>
  <c r="G145" i="2"/>
  <c r="G150" i="2"/>
  <c r="G151" i="2"/>
  <c r="G158" i="2"/>
  <c r="G159" i="2"/>
  <c r="G154" i="2"/>
  <c r="G155" i="2"/>
  <c r="H147" i="2"/>
  <c r="H145" i="2"/>
  <c r="H150" i="2"/>
  <c r="H151" i="2"/>
  <c r="H158" i="2"/>
  <c r="H159" i="2"/>
  <c r="H154" i="2"/>
  <c r="H155" i="2"/>
  <c r="G146" i="2"/>
  <c r="H146" i="2"/>
  <c r="G140" i="2"/>
  <c r="H140" i="2"/>
  <c r="G133" i="2"/>
  <c r="H133" i="2"/>
  <c r="I29" i="5"/>
  <c r="G29" i="5"/>
  <c r="E29" i="5"/>
  <c r="C29" i="5"/>
  <c r="D10" i="5"/>
  <c r="G132" i="2"/>
  <c r="H132" i="2"/>
  <c r="G136" i="2"/>
  <c r="G137" i="2"/>
  <c r="H136" i="2"/>
  <c r="H137" i="2"/>
  <c r="G138" i="2"/>
  <c r="G139" i="2"/>
  <c r="H138" i="2"/>
  <c r="H139" i="2"/>
  <c r="G130" i="2"/>
  <c r="G131" i="2"/>
  <c r="H130" i="2"/>
  <c r="H131" i="2"/>
  <c r="G134" i="2"/>
  <c r="G135" i="2"/>
  <c r="H134" i="2"/>
  <c r="H135" i="2"/>
  <c r="G127" i="2"/>
  <c r="G128" i="2"/>
  <c r="H127" i="2"/>
  <c r="H128" i="2"/>
  <c r="G124" i="2"/>
  <c r="G129" i="2"/>
  <c r="G125" i="2"/>
  <c r="G126" i="2"/>
  <c r="H124" i="2"/>
  <c r="H129" i="2"/>
  <c r="H125" i="2"/>
  <c r="H126" i="2"/>
  <c r="J10" i="5"/>
  <c r="G120" i="2"/>
  <c r="G121" i="2"/>
  <c r="H120" i="2"/>
  <c r="H121" i="2"/>
  <c r="G118" i="2"/>
  <c r="G119" i="2"/>
  <c r="H118" i="2"/>
  <c r="H119" i="2"/>
  <c r="G123" i="2"/>
  <c r="H123" i="2"/>
  <c r="G122" i="2"/>
  <c r="H122" i="2"/>
  <c r="G114" i="2"/>
  <c r="G115" i="2"/>
  <c r="G116" i="2"/>
  <c r="G117" i="2"/>
  <c r="H114" i="2"/>
  <c r="H115" i="2"/>
  <c r="H116" i="2"/>
  <c r="H117" i="2"/>
  <c r="J9" i="5"/>
  <c r="P10" i="5" l="1"/>
  <c r="D9" i="5"/>
  <c r="P9" i="5" s="1"/>
  <c r="H111" i="2"/>
  <c r="G111" i="2"/>
  <c r="H112" i="2"/>
  <c r="H113" i="2"/>
  <c r="G113" i="2"/>
  <c r="G112" i="2"/>
  <c r="H110" i="2"/>
  <c r="G110" i="2"/>
  <c r="H109" i="2"/>
  <c r="G109" i="2"/>
  <c r="H106" i="2"/>
  <c r="G106" i="2"/>
  <c r="H107" i="2"/>
  <c r="H108" i="2"/>
  <c r="G108" i="2"/>
  <c r="G107" i="2"/>
  <c r="H102" i="2"/>
  <c r="G102" i="2"/>
  <c r="H101" i="2"/>
  <c r="G101" i="2"/>
  <c r="H100" i="2"/>
  <c r="G100" i="2"/>
  <c r="H99" i="2"/>
  <c r="G99" i="2"/>
  <c r="H105" i="2"/>
  <c r="G105" i="2"/>
  <c r="H103" i="2"/>
  <c r="G103" i="2"/>
  <c r="H92" i="2"/>
  <c r="G92" i="2"/>
  <c r="G96" i="2"/>
  <c r="H96" i="2"/>
  <c r="H95" i="2"/>
  <c r="G95" i="2"/>
  <c r="H94" i="2"/>
  <c r="G94" i="2"/>
  <c r="J8" i="5"/>
  <c r="J7" i="5"/>
  <c r="P7" i="5" s="1"/>
  <c r="J6" i="5"/>
  <c r="J5" i="5"/>
  <c r="D8" i="5"/>
  <c r="D7" i="5"/>
  <c r="D6" i="5"/>
  <c r="P6" i="5" s="1"/>
  <c r="D5" i="5"/>
  <c r="D4" i="5"/>
  <c r="P4" i="5" s="1"/>
  <c r="H29" i="5"/>
  <c r="N29" i="5"/>
  <c r="L29" i="5"/>
  <c r="F29" i="5"/>
  <c r="G93" i="2"/>
  <c r="H93" i="2"/>
  <c r="G104" i="2"/>
  <c r="H104" i="2"/>
  <c r="G84" i="2"/>
  <c r="H84" i="2"/>
  <c r="G85" i="2"/>
  <c r="H85" i="2"/>
  <c r="G83" i="2"/>
  <c r="H83" i="2"/>
  <c r="G86" i="2"/>
  <c r="H86" i="2"/>
  <c r="G87" i="2"/>
  <c r="H87" i="2"/>
  <c r="G75" i="2"/>
  <c r="H75" i="2"/>
  <c r="G76" i="2"/>
  <c r="H76" i="2"/>
  <c r="G77" i="2"/>
  <c r="H77" i="2"/>
  <c r="G78" i="2"/>
  <c r="H78" i="2"/>
  <c r="G79" i="2"/>
  <c r="H79" i="2"/>
  <c r="G80" i="2"/>
  <c r="H80" i="2"/>
  <c r="G81" i="2"/>
  <c r="H81" i="2"/>
  <c r="G82" i="2"/>
  <c r="H82" i="2"/>
  <c r="G91" i="2"/>
  <c r="G89" i="2"/>
  <c r="G88" i="2"/>
  <c r="G97" i="2"/>
  <c r="G98" i="2"/>
  <c r="H91" i="2"/>
  <c r="H89" i="2"/>
  <c r="H88" i="2"/>
  <c r="H97" i="2"/>
  <c r="H98" i="2"/>
  <c r="G90" i="2"/>
  <c r="H90" i="2"/>
  <c r="G71" i="2"/>
  <c r="H71" i="2"/>
  <c r="G66" i="2"/>
  <c r="H66" i="2"/>
  <c r="G65" i="2"/>
  <c r="H65" i="2"/>
  <c r="G64" i="2"/>
  <c r="H64" i="2"/>
  <c r="G68" i="2"/>
  <c r="H68" i="2"/>
  <c r="G67" i="2"/>
  <c r="H67" i="2"/>
  <c r="G72" i="2"/>
  <c r="H72" i="2"/>
  <c r="G74" i="2"/>
  <c r="H74" i="2"/>
  <c r="G73" i="2"/>
  <c r="H73" i="2"/>
  <c r="G70" i="2"/>
  <c r="H70" i="2"/>
  <c r="G69" i="2"/>
  <c r="H69" i="2"/>
  <c r="G60" i="2"/>
  <c r="H60" i="2"/>
  <c r="G61" i="2"/>
  <c r="G62" i="2"/>
  <c r="G63" i="2"/>
  <c r="H61" i="2"/>
  <c r="H62" i="2"/>
  <c r="H63" i="2"/>
  <c r="G52" i="2"/>
  <c r="G56" i="2"/>
  <c r="G57" i="2"/>
  <c r="G58" i="2"/>
  <c r="G53" i="2"/>
  <c r="G54" i="2"/>
  <c r="G55" i="2"/>
  <c r="G59" i="2"/>
  <c r="H52" i="2"/>
  <c r="H56" i="2"/>
  <c r="H57" i="2"/>
  <c r="H58" i="2"/>
  <c r="H53" i="2"/>
  <c r="H54" i="2"/>
  <c r="H55" i="2"/>
  <c r="H59" i="2"/>
  <c r="P8" i="5" l="1"/>
  <c r="P5" i="5"/>
  <c r="P29" i="5" s="1"/>
  <c r="J29" i="5"/>
  <c r="D29" i="5"/>
  <c r="G50" i="2"/>
  <c r="H50" i="2"/>
  <c r="G49" i="2"/>
  <c r="H49" i="2"/>
  <c r="G51" i="2"/>
  <c r="H51" i="2"/>
  <c r="H43" i="2"/>
  <c r="H44" i="2"/>
  <c r="G44" i="2"/>
  <c r="G43" i="2"/>
  <c r="G42" i="2"/>
  <c r="H42" i="2"/>
  <c r="G41" i="2"/>
  <c r="H41" i="2"/>
  <c r="G47" i="2"/>
  <c r="H47" i="2"/>
  <c r="H46" i="2"/>
  <c r="G46" i="2"/>
  <c r="G45" i="2"/>
  <c r="H45" i="2"/>
  <c r="G48" i="2"/>
  <c r="H48" i="2"/>
  <c r="G40" i="2"/>
  <c r="H40" i="2"/>
  <c r="G32" i="2"/>
  <c r="G36" i="2"/>
  <c r="G37" i="2"/>
  <c r="G38" i="2"/>
  <c r="G33" i="2"/>
  <c r="G34" i="2"/>
  <c r="G35" i="2"/>
  <c r="H32" i="2"/>
  <c r="H36" i="2"/>
  <c r="H37" i="2"/>
  <c r="H38" i="2"/>
  <c r="H33" i="2"/>
  <c r="H34" i="2"/>
  <c r="H35" i="2"/>
  <c r="G31" i="2"/>
  <c r="H31" i="2"/>
  <c r="G29" i="2"/>
  <c r="H29" i="2"/>
  <c r="G20" i="2"/>
  <c r="H20" i="2"/>
  <c r="G26" i="2"/>
  <c r="G27" i="2"/>
  <c r="G28" i="2"/>
  <c r="G22" i="2"/>
  <c r="G23" i="2"/>
  <c r="G24" i="2"/>
  <c r="G25" i="2"/>
  <c r="H26" i="2"/>
  <c r="H27" i="2"/>
  <c r="H28" i="2"/>
  <c r="H22" i="2"/>
  <c r="H23" i="2"/>
  <c r="H24" i="2"/>
  <c r="H25" i="2"/>
  <c r="G30" i="2"/>
  <c r="G21" i="2"/>
  <c r="H30" i="2"/>
  <c r="H21" i="2"/>
  <c r="G39" i="2"/>
  <c r="H39" i="2"/>
  <c r="G19" i="2"/>
  <c r="H19" i="2"/>
  <c r="G17" i="2"/>
  <c r="H17" i="2"/>
  <c r="G18" i="2"/>
  <c r="H18" i="2"/>
  <c r="G14" i="2"/>
  <c r="H14" i="2"/>
  <c r="G7" i="2"/>
  <c r="H7" i="2"/>
  <c r="G15" i="2"/>
  <c r="H15" i="2"/>
  <c r="G10" i="2"/>
  <c r="H10" i="2"/>
  <c r="G8" i="2"/>
  <c r="G9" i="2"/>
  <c r="H8" i="2"/>
  <c r="H9" i="2"/>
  <c r="G6" i="2"/>
  <c r="G11" i="2"/>
  <c r="G12" i="2"/>
  <c r="G13" i="2"/>
  <c r="H6" i="2"/>
  <c r="H11" i="2"/>
  <c r="H12" i="2"/>
  <c r="H13" i="2"/>
  <c r="G16" i="2"/>
  <c r="H16" i="2"/>
  <c r="G2" i="2"/>
  <c r="G3" i="2"/>
  <c r="G4" i="2"/>
  <c r="G5" i="2"/>
  <c r="H2" i="2"/>
  <c r="H3" i="2"/>
  <c r="H4" i="2"/>
  <c r="H5" i="2"/>
  <c r="C16" i="3" l="1"/>
  <c r="C10" i="3"/>
  <c r="C15" i="3" s="1"/>
  <c r="C8" i="3"/>
  <c r="C7" i="3"/>
  <c r="C6" i="3"/>
  <c r="C5" i="3"/>
  <c r="G4" i="3"/>
  <c r="C4" i="3"/>
  <c r="C3" i="3"/>
  <c r="C1" i="3"/>
  <c r="D16" i="3" l="1"/>
  <c r="J5" i="3"/>
</calcChain>
</file>

<file path=xl/sharedStrings.xml><?xml version="1.0" encoding="utf-8"?>
<sst xmlns="http://schemas.openxmlformats.org/spreadsheetml/2006/main" count="839" uniqueCount="57">
  <si>
    <t>FECHA</t>
  </si>
  <si>
    <t>HORA</t>
  </si>
  <si>
    <t>CAMPAÑA</t>
  </si>
  <si>
    <t>SMS MASIVIAN</t>
  </si>
  <si>
    <t>SMS SAEM</t>
  </si>
  <si>
    <t>IVR SAEM</t>
  </si>
  <si>
    <t xml:space="preserve">IVR INTERCOM </t>
  </si>
  <si>
    <t>IVR TRANSACCIONAL</t>
  </si>
  <si>
    <t>PROCESO</t>
  </si>
  <si>
    <t>CANTIDAD</t>
  </si>
  <si>
    <t>MORA 0</t>
  </si>
  <si>
    <t>MORA 30</t>
  </si>
  <si>
    <t>MORA 60</t>
  </si>
  <si>
    <t>CASTIGO</t>
  </si>
  <si>
    <t>MORA 90</t>
  </si>
  <si>
    <t>PRECHURN</t>
  </si>
  <si>
    <t>WISEBOT</t>
  </si>
  <si>
    <t>SERVICEBOTS</t>
  </si>
  <si>
    <t>MORA 120</t>
  </si>
  <si>
    <t>MORA 150</t>
  </si>
  <si>
    <t>MORA 180</t>
  </si>
  <si>
    <t>MORA 210</t>
  </si>
  <si>
    <t>POTENCIAL</t>
  </si>
  <si>
    <t>PROVISIÓN</t>
  </si>
  <si>
    <t>CHURN</t>
  </si>
  <si>
    <t>FECHA_HORA</t>
  </si>
  <si>
    <t>Etiquetas de fila</t>
  </si>
  <si>
    <t>Total general</t>
  </si>
  <si>
    <t>Suma de CANTIDAD</t>
  </si>
  <si>
    <t>ENVIADO</t>
  </si>
  <si>
    <t>EFECTIVO</t>
  </si>
  <si>
    <t>CORREO</t>
  </si>
  <si>
    <t>Fecha2</t>
  </si>
  <si>
    <t>COSTE</t>
  </si>
  <si>
    <t>h</t>
  </si>
  <si>
    <t>CLARO</t>
  </si>
  <si>
    <t>MARCA</t>
  </si>
  <si>
    <t>GMAC</t>
  </si>
  <si>
    <t>potencial</t>
  </si>
  <si>
    <t>prechurn</t>
  </si>
  <si>
    <t>PASH</t>
  </si>
  <si>
    <t>IVR INTERCOM</t>
  </si>
  <si>
    <t>TRANSACCIONAL</t>
  </si>
  <si>
    <t>Costo</t>
  </si>
  <si>
    <t>Registros</t>
  </si>
  <si>
    <t>Fecha</t>
  </si>
  <si>
    <t>Segundos</t>
  </si>
  <si>
    <t>Costo total</t>
  </si>
  <si>
    <t>COSTO TOTAL ABRIL</t>
  </si>
  <si>
    <t>Minutos</t>
  </si>
  <si>
    <t>%</t>
  </si>
  <si>
    <t>Proceso - Recurso</t>
  </si>
  <si>
    <t>:00</t>
  </si>
  <si>
    <t>9 AM</t>
  </si>
  <si>
    <t>:30</t>
  </si>
  <si>
    <t>10 AM</t>
  </si>
  <si>
    <t>Suma de CANTIDAD2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</si>
</sst>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-* #,##0.00_-;\-* #,##0.00_-;_-* &quot;-&quot;??_-;_-@_-"/>
    <numFmt numFmtId="165" formatCode="h:mm:ss;@"/>
    <numFmt numFmtId="166" formatCode="d/mm/yyyy\ hh:mm"/>
    <numFmt numFmtId="167" formatCode="hh:mm"/>
    <numFmt numFmtId="168" formatCode="000,000,000"/>
    <numFmt numFmtId="169" formatCode="_-* #,##0_-;\-* #,##0_-;_-* &quot;-&quot;??_-;_-@_-"/>
    <numFmt numFmtId="170" formatCode="&quot;$&quot;\ #,##0"/>
    <numFmt numFmtId="171" formatCode="[$-240A]dddd\ d&quot; de &quot;mmmm&quot; de &quot;yyyy;@"/>
    <numFmt numFmtId="172" formatCode="0.00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153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D5DC"/>
        <bgColor indexed="64"/>
      </patternFill>
    </fill>
    <fill>
      <patternFill patternType="solid">
        <fgColor rgb="FF0070C0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E9094E"/>
        <bgColor indexed="64"/>
      </patternFill>
    </fill>
    <fill>
      <patternFill patternType="solid">
        <fgColor rgb="FFC5074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167" fontId="0" fillId="0" borderId="0" xfId="0" applyNumberFormat="1" applyAlignment="1">
      <alignment horizontal="center"/>
    </xf>
    <xf numFmtId="167" fontId="0" fillId="0" borderId="0" xfId="0" applyNumberFormat="1"/>
    <xf numFmtId="0" fontId="0" fillId="0" borderId="0" xfId="0" applyNumberFormat="1"/>
    <xf numFmtId="14" fontId="2" fillId="0" borderId="0" xfId="0" applyNumberFormat="1" applyFont="1"/>
    <xf numFmtId="169" fontId="0" fillId="0" borderId="0" xfId="1" applyNumberFormat="1" applyFont="1" applyAlignment="1">
      <alignment horizontal="center"/>
    </xf>
    <xf numFmtId="169" fontId="0" fillId="0" borderId="0" xfId="1" applyNumberFormat="1" applyFont="1"/>
    <xf numFmtId="0" fontId="0" fillId="2" borderId="0" xfId="0" applyFill="1"/>
    <xf numFmtId="0" fontId="3" fillId="0" borderId="0" xfId="0" applyFont="1"/>
    <xf numFmtId="0" fontId="0" fillId="0" borderId="0" xfId="0" applyFill="1"/>
    <xf numFmtId="0" fontId="0" fillId="0" borderId="0" xfId="0" applyFill="1" applyAlignment="1">
      <alignment horizontal="left"/>
    </xf>
    <xf numFmtId="0" fontId="2" fillId="0" borderId="0" xfId="0" applyFont="1" applyFill="1" applyAlignment="1">
      <alignment horizontal="left"/>
    </xf>
    <xf numFmtId="169" fontId="5" fillId="0" borderId="2" xfId="0" applyNumberFormat="1" applyFont="1" applyFill="1" applyBorder="1"/>
    <xf numFmtId="169" fontId="6" fillId="0" borderId="0" xfId="1" applyNumberFormat="1" applyFont="1"/>
    <xf numFmtId="167" fontId="0" fillId="0" borderId="0" xfId="0" applyNumberFormat="1" applyFont="1" applyAlignment="1">
      <alignment horizontal="center"/>
    </xf>
    <xf numFmtId="169" fontId="1" fillId="0" borderId="0" xfId="1" applyNumberFormat="1" applyFont="1" applyAlignment="1">
      <alignment horizontal="center"/>
    </xf>
    <xf numFmtId="0" fontId="0" fillId="0" borderId="1" xfId="0" applyFill="1" applyBorder="1" applyAlignment="1">
      <alignment horizontal="center"/>
    </xf>
    <xf numFmtId="0" fontId="2" fillId="2" borderId="3" xfId="0" applyFont="1" applyFill="1" applyBorder="1"/>
    <xf numFmtId="3" fontId="0" fillId="0" borderId="0" xfId="0" applyNumberFormat="1"/>
    <xf numFmtId="0" fontId="8" fillId="4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0" fillId="0" borderId="0" xfId="0" applyAlignment="1"/>
    <xf numFmtId="171" fontId="11" fillId="4" borderId="0" xfId="0" applyNumberFormat="1" applyFont="1" applyFill="1" applyBorder="1" applyAlignment="1">
      <alignment horizontal="center" vertical="center"/>
    </xf>
    <xf numFmtId="170" fontId="10" fillId="4" borderId="6" xfId="0" applyNumberFormat="1" applyFont="1" applyFill="1" applyBorder="1" applyAlignment="1">
      <alignment horizontal="center"/>
    </xf>
    <xf numFmtId="169" fontId="0" fillId="2" borderId="5" xfId="1" applyNumberFormat="1" applyFont="1" applyFill="1" applyBorder="1" applyAlignment="1">
      <alignment horizontal="center"/>
    </xf>
    <xf numFmtId="170" fontId="0" fillId="2" borderId="5" xfId="0" applyNumberFormat="1" applyFont="1" applyFill="1" applyBorder="1" applyAlignment="1">
      <alignment horizontal="center"/>
    </xf>
    <xf numFmtId="169" fontId="10" fillId="4" borderId="7" xfId="1" applyNumberFormat="1" applyFont="1" applyFill="1" applyBorder="1" applyAlignment="1">
      <alignment horizontal="center"/>
    </xf>
    <xf numFmtId="0" fontId="0" fillId="0" borderId="5" xfId="0" applyBorder="1"/>
    <xf numFmtId="169" fontId="0" fillId="2" borderId="8" xfId="1" applyNumberFormat="1" applyFont="1" applyFill="1" applyBorder="1" applyAlignment="1">
      <alignment horizontal="center"/>
    </xf>
    <xf numFmtId="170" fontId="0" fillId="2" borderId="9" xfId="0" applyNumberFormat="1" applyFont="1" applyFill="1" applyBorder="1" applyAlignment="1">
      <alignment horizontal="center"/>
    </xf>
    <xf numFmtId="170" fontId="0" fillId="2" borderId="9" xfId="0" applyNumberFormat="1" applyFill="1" applyBorder="1" applyAlignment="1">
      <alignment horizontal="center"/>
    </xf>
    <xf numFmtId="170" fontId="0" fillId="0" borderId="9" xfId="0" applyNumberFormat="1" applyBorder="1" applyAlignment="1">
      <alignment horizontal="center"/>
    </xf>
    <xf numFmtId="169" fontId="0" fillId="2" borderId="10" xfId="1" applyNumberFormat="1" applyFont="1" applyFill="1" applyBorder="1" applyAlignment="1">
      <alignment horizontal="center"/>
    </xf>
    <xf numFmtId="170" fontId="0" fillId="2" borderId="11" xfId="0" applyNumberFormat="1" applyFont="1" applyFill="1" applyBorder="1" applyAlignment="1">
      <alignment horizontal="center"/>
    </xf>
    <xf numFmtId="169" fontId="0" fillId="2" borderId="12" xfId="1" applyNumberFormat="1" applyFont="1" applyFill="1" applyBorder="1" applyAlignment="1">
      <alignment horizontal="center"/>
    </xf>
    <xf numFmtId="170" fontId="0" fillId="2" borderId="11" xfId="0" applyNumberFormat="1" applyFill="1" applyBorder="1" applyAlignment="1">
      <alignment horizontal="center"/>
    </xf>
    <xf numFmtId="170" fontId="0" fillId="2" borderId="10" xfId="0" applyNumberFormat="1" applyFont="1" applyFill="1" applyBorder="1" applyAlignment="1">
      <alignment horizontal="center"/>
    </xf>
    <xf numFmtId="0" fontId="0" fillId="0" borderId="10" xfId="0" applyBorder="1"/>
    <xf numFmtId="170" fontId="0" fillId="0" borderId="11" xfId="0" applyNumberFormat="1" applyBorder="1" applyAlignment="1">
      <alignment horizontal="center"/>
    </xf>
    <xf numFmtId="171" fontId="8" fillId="4" borderId="7" xfId="0" applyNumberFormat="1" applyFont="1" applyFill="1" applyBorder="1" applyAlignment="1">
      <alignment horizontal="center" vertical="center"/>
    </xf>
    <xf numFmtId="170" fontId="10" fillId="4" borderId="7" xfId="0" applyNumberFormat="1" applyFont="1" applyFill="1" applyBorder="1" applyAlignment="1">
      <alignment horizontal="center"/>
    </xf>
    <xf numFmtId="0" fontId="0" fillId="4" borderId="7" xfId="0" applyFill="1" applyBorder="1" applyAlignment="1"/>
    <xf numFmtId="170" fontId="10" fillId="4" borderId="13" xfId="0" applyNumberFormat="1" applyFont="1" applyFill="1" applyBorder="1" applyAlignment="1">
      <alignment horizontal="center"/>
    </xf>
    <xf numFmtId="0" fontId="0" fillId="0" borderId="1" xfId="0" applyFont="1" applyFill="1" applyBorder="1" applyAlignment="1"/>
    <xf numFmtId="169" fontId="0" fillId="0" borderId="1" xfId="1" applyNumberFormat="1" applyFont="1" applyFill="1" applyBorder="1"/>
    <xf numFmtId="0" fontId="0" fillId="0" borderId="1" xfId="0" applyFont="1" applyFill="1" applyBorder="1"/>
    <xf numFmtId="0" fontId="0" fillId="0" borderId="0" xfId="0" applyFont="1" applyFill="1"/>
    <xf numFmtId="16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0" fillId="0" borderId="1" xfId="0" applyNumberFormat="1" applyFont="1" applyFill="1" applyBorder="1"/>
    <xf numFmtId="169" fontId="0" fillId="0" borderId="0" xfId="1" applyNumberFormat="1" applyFont="1" applyFill="1"/>
    <xf numFmtId="14" fontId="0" fillId="0" borderId="1" xfId="0" applyNumberFormat="1" applyFont="1" applyFill="1" applyBorder="1" applyAlignment="1">
      <alignment horizontal="left"/>
    </xf>
    <xf numFmtId="10" fontId="0" fillId="0" borderId="1" xfId="2" applyNumberFormat="1" applyFont="1" applyFill="1" applyBorder="1"/>
    <xf numFmtId="10" fontId="0" fillId="0" borderId="1" xfId="0" applyNumberFormat="1" applyFont="1" applyFill="1" applyBorder="1" applyAlignment="1">
      <alignment horizontal="center"/>
    </xf>
    <xf numFmtId="172" fontId="0" fillId="0" borderId="1" xfId="0" applyNumberFormat="1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10" fontId="0" fillId="0" borderId="1" xfId="0" applyNumberFormat="1" applyFont="1" applyFill="1" applyBorder="1"/>
    <xf numFmtId="172" fontId="0" fillId="0" borderId="1" xfId="0" applyNumberFormat="1" applyFont="1" applyFill="1" applyBorder="1"/>
    <xf numFmtId="166" fontId="0" fillId="0" borderId="1" xfId="0" applyNumberFormat="1" applyFont="1" applyFill="1" applyBorder="1" applyAlignment="1">
      <alignment horizontal="left" indent="1"/>
    </xf>
    <xf numFmtId="0" fontId="0" fillId="0" borderId="1" xfId="0" applyFont="1" applyFill="1" applyBorder="1" applyAlignment="1">
      <alignment horizontal="left" indent="2"/>
    </xf>
    <xf numFmtId="0" fontId="0" fillId="0" borderId="1" xfId="0" applyFont="1" applyFill="1" applyBorder="1" applyAlignment="1">
      <alignment horizontal="left" indent="1"/>
    </xf>
    <xf numFmtId="165" fontId="0" fillId="0" borderId="1" xfId="0" applyNumberFormat="1" applyFont="1" applyFill="1" applyBorder="1" applyAlignment="1">
      <alignment horizontal="left"/>
    </xf>
    <xf numFmtId="172" fontId="0" fillId="0" borderId="0" xfId="0" applyNumberFormat="1" applyFont="1" applyFill="1"/>
    <xf numFmtId="166" fontId="0" fillId="9" borderId="0" xfId="0" applyNumberFormat="1" applyFill="1" applyAlignment="1">
      <alignment horizontal="center"/>
    </xf>
    <xf numFmtId="14" fontId="0" fillId="9" borderId="14" xfId="0" applyNumberFormat="1" applyFill="1" applyBorder="1" applyAlignment="1">
      <alignment horizontal="center"/>
    </xf>
    <xf numFmtId="167" fontId="0" fillId="9" borderId="15" xfId="0" applyNumberFormat="1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169" fontId="0" fillId="9" borderId="15" xfId="1" applyNumberFormat="1" applyFont="1" applyFill="1" applyBorder="1" applyAlignment="1">
      <alignment horizontal="center"/>
    </xf>
    <xf numFmtId="0" fontId="7" fillId="7" borderId="4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172" fontId="12" fillId="10" borderId="1" xfId="0" applyNumberFormat="1" applyFont="1" applyFill="1" applyBorder="1" applyAlignment="1">
      <alignment horizontal="center" vertical="center"/>
    </xf>
  </cellXfs>
  <cellStyles count="3">
    <cellStyle name="Millares" xfId="1" builtinId="3"/>
    <cellStyle name="Normal" xfId="0" builtinId="0"/>
    <cellStyle name="Porcentaje" xfId="2" builtinId="5"/>
  </cellStyles>
  <dxfs count="754">
    <dxf>
      <numFmt numFmtId="169" formatCode="_-* #,##0_-;\-* #,##0_-;_-* &quot;-&quot;??_-;_-@_-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ont>
        <b/>
      </font>
    </dxf>
    <dxf>
      <numFmt numFmtId="14" formatCode="0.00%"/>
    </dxf>
    <dxf>
      <numFmt numFmtId="172" formatCode="0.000%"/>
    </dxf>
    <dxf>
      <numFmt numFmtId="172" formatCode="0.000%"/>
    </dxf>
    <dxf>
      <alignment horizontal="center"/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E9094E"/>
        </patternFill>
      </fill>
    </dxf>
    <dxf>
      <fill>
        <patternFill patternType="solid">
          <bgColor rgb="FFE9094E"/>
        </patternFill>
      </fill>
    </dxf>
    <dxf>
      <fill>
        <patternFill>
          <bgColor rgb="FFC50742"/>
        </patternFill>
      </fill>
    </dxf>
    <dxf>
      <fill>
        <patternFill>
          <bgColor rgb="FFC50742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4" formatCode="0.00%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9" formatCode="_-* #,##0_-;\-* #,##0_-;_-* &quot;-&quot;??_-;_-@_-"/>
    </dxf>
    <dxf>
      <numFmt numFmtId="169" formatCode="_-* #,##0_-;\-* #,##0_-;_-* &quot;-&quot;??_-;_-@_-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4" formatCode="0.00%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ont>
        <b/>
      </font>
    </dxf>
    <dxf>
      <numFmt numFmtId="14" formatCode="0.00%"/>
    </dxf>
    <dxf>
      <numFmt numFmtId="172" formatCode="0.000%"/>
    </dxf>
    <dxf>
      <numFmt numFmtId="172" formatCode="0.000%"/>
    </dxf>
    <dxf>
      <alignment horizontal="center"/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E9094E"/>
        </patternFill>
      </fill>
    </dxf>
    <dxf>
      <fill>
        <patternFill patternType="solid">
          <bgColor rgb="FFE9094E"/>
        </patternFill>
      </fill>
    </dxf>
    <dxf>
      <fill>
        <patternFill>
          <bgColor rgb="FFC50742"/>
        </patternFill>
      </fill>
    </dxf>
    <dxf>
      <fill>
        <patternFill>
          <bgColor rgb="FFC50742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4" formatCode="0.00%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9" formatCode="_-* #,##0_-;\-* #,##0_-;_-* &quot;-&quot;??_-;_-@_-"/>
    </dxf>
    <dxf>
      <numFmt numFmtId="169" formatCode="_-* #,##0_-;\-* #,##0_-;_-* &quot;-&quot;??_-;_-@_-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4" formatCode="0.00%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ont>
        <b/>
      </font>
    </dxf>
    <dxf>
      <numFmt numFmtId="14" formatCode="0.00%"/>
    </dxf>
    <dxf>
      <numFmt numFmtId="172" formatCode="0.000%"/>
    </dxf>
    <dxf>
      <numFmt numFmtId="172" formatCode="0.000%"/>
    </dxf>
    <dxf>
      <alignment horizontal="center"/>
    </dxf>
    <dxf>
      <font>
        <b/>
      </font>
    </dxf>
    <dxf>
      <font>
        <b/>
      </font>
    </dxf>
    <dxf>
      <font>
        <sz val="12"/>
      </font>
    </dxf>
    <dxf>
      <font>
        <sz val="12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fill>
        <patternFill patternType="solid">
          <bgColor rgb="FFE9094E"/>
        </patternFill>
      </fill>
    </dxf>
    <dxf>
      <fill>
        <patternFill patternType="solid">
          <bgColor rgb="FFE9094E"/>
        </patternFill>
      </fill>
    </dxf>
    <dxf>
      <fill>
        <patternFill>
          <bgColor rgb="FFC50742"/>
        </patternFill>
      </fill>
    </dxf>
    <dxf>
      <fill>
        <patternFill>
          <bgColor rgb="FFC50742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4" formatCode="0.00%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9" formatCode="_-* #,##0_-;\-* #,##0_-;_-* &quot;-&quot;??_-;_-@_-"/>
    </dxf>
    <dxf>
      <numFmt numFmtId="169" formatCode="_-* #,##0_-;\-* #,##0_-;_-* &quot;-&quot;??_-;_-@_-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4" formatCode="0.00%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9" formatCode="_-* #,##0_-;\-* #,##0_-;_-* &quot;-&quot;??_-;_-@_-"/>
    </dxf>
    <dxf>
      <numFmt numFmtId="169" formatCode="_-* #,##0_-;\-* #,##0_-;_-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ill>
        <patternFill>
          <bgColor theme="1" tint="0.499984740745262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vertical style="thin">
          <color theme="0"/>
        </vertical>
        <horizontal style="thin">
          <color theme="0"/>
        </horizontal>
      </border>
    </dxf>
    <dxf>
      <border>
        <bottom style="thin">
          <color theme="0"/>
        </bottom>
      </border>
    </dxf>
    <dxf>
      <border>
        <bottom style="thin">
          <color theme="0"/>
        </bottom>
      </border>
    </dxf>
    <dxf>
      <alignment horizontal="center"/>
    </dxf>
    <dxf>
      <alignment horizontal="center"/>
    </dxf>
    <dxf>
      <font>
        <sz val="10"/>
      </font>
    </dxf>
    <dxf>
      <fill>
        <patternFill patternType="solid">
          <bgColor rgb="FFFF153C"/>
        </patternFill>
      </fill>
    </dxf>
    <dxf>
      <border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bottom style="thin">
          <color theme="0"/>
        </bottom>
      </border>
    </dxf>
    <dxf>
      <fill>
        <patternFill patternType="solid">
          <bgColor theme="4" tint="0.59999389629810485"/>
        </patternFill>
      </fill>
    </dxf>
    <dxf>
      <font>
        <color theme="0"/>
      </font>
    </dxf>
    <dxf>
      <fill>
        <patternFill patternType="solid">
          <bgColor theme="8" tint="-0.249977111117893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8" tint="-0.249977111117893"/>
        </patternFill>
      </fill>
    </dxf>
    <dxf>
      <fill>
        <patternFill patternType="solid">
          <bgColor theme="8" tint="-0.499984740745262"/>
        </patternFill>
      </fill>
    </dxf>
    <dxf>
      <font>
        <color theme="0"/>
      </font>
    </dxf>
    <dxf>
      <fill>
        <patternFill patternType="solid">
          <bgColor theme="0"/>
        </patternFill>
      </fill>
    </dxf>
    <dxf>
      <alignment horizontal="center"/>
    </dxf>
    <dxf>
      <numFmt numFmtId="169" formatCode="_-* #,##0_-;\-* #,##0_-;_-* &quot;-&quot;??_-;_-@_-"/>
    </dxf>
    <dxf>
      <font>
        <b/>
      </font>
    </dxf>
    <dxf>
      <font>
        <b/>
      </font>
    </dxf>
    <dxf>
      <font>
        <color theme="9" tint="-0.249977111117893"/>
      </font>
    </dxf>
    <dxf>
      <numFmt numFmtId="0" formatCode="General"/>
    </dxf>
    <dxf>
      <numFmt numFmtId="0" formatCode="General"/>
    </dxf>
    <dxf>
      <numFmt numFmtId="166" formatCode="d/mm/yyyy\ hh:mm"/>
      <alignment horizontal="center" vertical="bottom" textRotation="0" wrapText="0" indent="0" justifyLastLine="0" shrinkToFit="0" readingOrder="0"/>
    </dxf>
    <dxf>
      <numFmt numFmtId="166" formatCode="d/mm/yyyy\ h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_-;\-* #,##0_-;_-* &quot;-&quot;??_-;_-@_-"/>
      <alignment horizontal="center" vertical="bottom" textRotation="0" wrapText="0" indent="0" justifyLastLine="0" shrinkToFit="0" readingOrder="0"/>
    </dxf>
    <dxf>
      <font>
        <i val="0"/>
      </font>
      <numFmt numFmtId="169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_-;\-* #,##0_-;_-* &quot;-&quot;??_-;_-@_-"/>
      <alignment horizontal="center" vertical="bottom" textRotation="0" wrapText="0" indent="0" justifyLastLine="0" shrinkToFit="0" readingOrder="0"/>
    </dxf>
    <dxf>
      <numFmt numFmtId="169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hh:mm"/>
      <alignment horizontal="center" vertical="bottom" textRotation="0" wrapText="0" indent="0" justifyLastLine="0" shrinkToFit="0" readingOrder="0"/>
    </dxf>
    <dxf>
      <numFmt numFmtId="167" formatCode="hh:mm"/>
      <alignment horizontal="center" vertical="bottom" textRotation="0" wrapText="0" indent="0" justifyLastLine="0" shrinkToFit="0" readingOrder="0"/>
    </dxf>
    <dxf>
      <numFmt numFmtId="173" formatCode="d/mm/yyyy"/>
      <alignment horizontal="center" vertical="bottom" textRotation="0" wrapText="0" indent="0" justifyLastLine="0" shrinkToFit="0" readingOrder="0"/>
    </dxf>
    <dxf>
      <numFmt numFmtId="173" formatCode="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numFmt numFmtId="169" formatCode="_-* #,##0_-;\-* #,##0_-;_-* &quot;-&quot;??_-;_-@_-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b/>
        <sz val="11"/>
        <color theme="1"/>
      </font>
      <border>
        <vertical/>
        <horizontal/>
      </border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  <color rgb="FFCC113F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ill>
        <patternFill patternType="solid">
          <fgColor theme="4" tint="0.79989013336588644"/>
          <bgColor theme="0" tint="-0.14996795556505021"/>
        </patternFill>
      </fill>
      <border>
        <bottom style="thin">
          <color theme="4"/>
        </bottom>
      </border>
    </dxf>
    <dxf>
      <font>
        <b/>
        <i val="0"/>
        <color theme="0"/>
      </font>
      <fill>
        <patternFill>
          <bgColor rgb="FF757575"/>
        </patternFill>
      </fill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font>
        <b/>
        <color theme="1"/>
      </font>
      <border>
        <top style="double">
          <color theme="4" tint="-0.249977111117893"/>
        </top>
      </border>
    </dxf>
    <dxf>
      <font>
        <color theme="0"/>
      </font>
      <fill>
        <patternFill patternType="solid">
          <fgColor theme="4" tint="-0.249977111117893"/>
          <bgColor rgb="FFE9094E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horizontal style="thin">
          <color theme="4" tint="0.79998168889431442"/>
        </horizontal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ill>
        <patternFill patternType="solid">
          <fgColor theme="4" tint="0.79992065187536243"/>
          <bgColor theme="0" tint="-4.9989318521683403E-2"/>
        </patternFill>
      </fill>
      <border>
        <bottom style="thin">
          <color theme="4"/>
        </bottom>
      </border>
    </dxf>
    <dxf>
      <font>
        <b/>
        <i val="0"/>
        <color theme="0"/>
      </font>
      <fill>
        <patternFill>
          <bgColor rgb="FF757575"/>
        </patternFill>
      </fill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font>
        <b/>
        <color theme="1"/>
      </font>
      <border>
        <top style="double">
          <color theme="4" tint="-0.249977111117893"/>
        </top>
      </border>
    </dxf>
    <dxf>
      <font>
        <color theme="0"/>
      </font>
      <fill>
        <patternFill patternType="solid">
          <fgColor theme="4" tint="-0.249977111117893"/>
          <bgColor rgb="FFE9094E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horizontal style="thin">
          <color theme="4" tint="0.79998168889431442"/>
        </horizontal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ill>
        <patternFill patternType="solid">
          <fgColor theme="4" tint="0.79995117038483843"/>
          <bgColor rgb="FFCDCDCD"/>
        </patternFill>
      </fill>
      <border>
        <bottom style="thin">
          <color theme="4"/>
        </bottom>
      </border>
    </dxf>
    <dxf>
      <fill>
        <patternFill>
          <bgColor rgb="FF757575"/>
        </patternFill>
      </fill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font>
        <b/>
        <color theme="1"/>
      </font>
      <border>
        <top style="double">
          <color theme="4" tint="-0.249977111117893"/>
        </top>
      </border>
    </dxf>
    <dxf>
      <font>
        <color theme="0"/>
      </font>
      <fill>
        <patternFill patternType="solid">
          <fgColor theme="4" tint="-0.249977111117893"/>
          <bgColor rgb="FFE9094E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horizontal style="thin">
          <color theme="4" tint="0.79998168889431442"/>
        </horizontal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/>
        </bottom>
      </border>
    </dxf>
    <dxf>
      <font>
        <color theme="0"/>
      </font>
      <fill>
        <patternFill patternType="solid">
          <fgColor theme="4" tint="0.39997558519241921"/>
          <bgColor theme="4" tint="0.39997558519241921"/>
        </patternFill>
      </fill>
      <border>
        <bottom style="thin">
          <color theme="4" tint="0.79998168889431442"/>
        </bottom>
        <horizontal style="thin">
          <color theme="4" tint="0.39997558519241921"/>
        </horizontal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 tint="0.39997558519241921"/>
          <bgColor theme="4" tint="0.39997558519241921"/>
        </patternFill>
      </fill>
    </dxf>
    <dxf>
      <font>
        <b/>
        <color theme="0"/>
      </font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border>
        <top style="thin">
          <color theme="4" tint="-0.249977111117893"/>
        </top>
        <bottom style="thin">
          <color theme="4" tint="-0.249977111117893"/>
        </bottom>
        <horizontal style="thin">
          <color theme="4" tint="-0.249977111117893"/>
        </horizontal>
      </border>
    </dxf>
    <dxf>
      <font>
        <b/>
        <color theme="1"/>
      </font>
      <border>
        <top style="double">
          <color theme="4" tint="-0.249977111117893"/>
        </top>
      </border>
    </dxf>
    <dxf>
      <font>
        <color theme="0"/>
      </font>
      <fill>
        <patternFill patternType="solid">
          <fgColor theme="4" tint="-0.249977111117893"/>
          <bgColor rgb="FFE9094E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horizontal style="thin">
          <color theme="4" tint="0.79998168889431442"/>
        </horizontal>
      </border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FF153C"/>
        </patternFill>
      </fill>
    </dxf>
  </dxfs>
  <tableStyles count="8" defaultTableStyle="TableStyleMedium2" defaultPivotStyle="PivotStyleLight16">
    <tableStyle name="Estilo de tabla 1" pivot="0" count="3" xr9:uid="{9E07DB5A-6B27-46B8-B221-5F52A6E36796}">
      <tableStyleElement type="headerRow" dxfId="753"/>
      <tableStyleElement type="firstRowStripe" dxfId="752"/>
      <tableStyleElement type="secondRowStripe" dxfId="751"/>
    </tableStyle>
    <tableStyle name="PivotStyleMedium2 2" table="0" count="13" xr9:uid="{67AF133A-E502-41E5-99C6-53060F7EF908}">
      <tableStyleElement type="wholeTable" dxfId="750"/>
      <tableStyleElement type="headerRow" dxfId="749"/>
      <tableStyleElement type="totalRow" dxfId="748"/>
      <tableStyleElement type="firstRowStripe" dxfId="747"/>
      <tableStyleElement type="firstColumnStripe" dxfId="746"/>
      <tableStyleElement type="firstHeaderCell" dxfId="745"/>
      <tableStyleElement type="firstSubtotalRow" dxfId="744"/>
      <tableStyleElement type="secondSubtotalRow" dxfId="743"/>
      <tableStyleElement type="firstColumnSubheading" dxfId="742"/>
      <tableStyleElement type="firstRowSubheading" dxfId="741"/>
      <tableStyleElement type="secondRowSubheading" dxfId="740"/>
      <tableStyleElement type="pageFieldLabels" dxfId="739"/>
      <tableStyleElement type="pageFieldValues" dxfId="738"/>
    </tableStyle>
    <tableStyle name="PivotStyleMedium2 2 2" table="0" count="8" xr9:uid="{00D94AE0-BEF9-403C-A22D-2889A9482FBB}">
      <tableStyleElement type="wholeTable" dxfId="737"/>
      <tableStyleElement type="headerRow" dxfId="736"/>
      <tableStyleElement type="totalRow" dxfId="735"/>
      <tableStyleElement type="firstColumnStripe" dxfId="734"/>
      <tableStyleElement type="firstRowSubheading" dxfId="733"/>
      <tableStyleElement type="secondRowSubheading" dxfId="732"/>
      <tableStyleElement type="pageFieldLabels" dxfId="731"/>
      <tableStyleElement type="pageFieldValues" dxfId="730"/>
    </tableStyle>
    <tableStyle name="PivotStyleMedium2 2 2 2" table="0" count="8" xr9:uid="{6AA649DD-E49D-45EC-9950-1C5EEBAAC203}">
      <tableStyleElement type="wholeTable" dxfId="729"/>
      <tableStyleElement type="headerRow" dxfId="728"/>
      <tableStyleElement type="totalRow" dxfId="727"/>
      <tableStyleElement type="firstColumnStripe" dxfId="726"/>
      <tableStyleElement type="firstRowSubheading" dxfId="725"/>
      <tableStyleElement type="secondRowSubheading" dxfId="724"/>
      <tableStyleElement type="pageFieldLabels" dxfId="723"/>
      <tableStyleElement type="pageFieldValues" dxfId="722"/>
    </tableStyle>
    <tableStyle name="PivotStyleMedium2 2 2 2 2" table="0" count="8" xr9:uid="{72EA665A-1B7D-4408-A7D2-22727DC3EB69}">
      <tableStyleElement type="wholeTable" dxfId="721"/>
      <tableStyleElement type="headerRow" dxfId="720"/>
      <tableStyleElement type="totalRow" dxfId="719"/>
      <tableStyleElement type="firstColumnStripe" dxfId="718"/>
      <tableStyleElement type="firstRowSubheading" dxfId="717"/>
      <tableStyleElement type="secondRowSubheading" dxfId="716"/>
      <tableStyleElement type="pageFieldLabels" dxfId="715"/>
      <tableStyleElement type="pageFieldValues" dxfId="714"/>
    </tableStyle>
    <tableStyle name="SlicerStyleLight1 2" pivot="0" table="0" count="10" xr9:uid="{94C38232-3550-4403-8890-AB19E825D52F}">
      <tableStyleElement type="wholeTable" dxfId="713"/>
      <tableStyleElement type="headerRow" dxfId="712"/>
    </tableStyle>
    <tableStyle name="TimeSlicerStyleDark1 2" pivot="0" table="0" count="9" xr9:uid="{443FD6AF-5A4E-4A88-B023-402B5897CB3F}">
      <tableStyleElement type="wholeTable" dxfId="711"/>
      <tableStyleElement type="headerRow" dxfId="710"/>
    </tableStyle>
    <tableStyle name="TimeSlicerStyleDark3 2" pivot="0" table="0" count="9" xr9:uid="{B5A72E34-D354-4881-9D27-6407221C3F7C}">
      <tableStyleElement type="wholeTable" dxfId="709"/>
      <tableStyleElement type="headerRow" dxfId="708"/>
    </tableStyle>
  </tableStyles>
  <colors>
    <mruColors>
      <color rgb="FFFCB2B2"/>
      <color rgb="FFE9094E"/>
      <color rgb="FFC50742"/>
      <color rgb="FFFD5D5D"/>
      <color rgb="FFF6A0A0"/>
      <color rgb="FF003BB0"/>
      <color rgb="FF0052F6"/>
      <color rgb="FF00339A"/>
      <color rgb="FFF53D3D"/>
      <color rgb="FF13C5DD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color theme="1"/>
          </font>
          <fill>
            <patternFill patternType="solid">
              <fgColor auto="1"/>
              <bgColor rgb="FFE9778F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rgb="FF000000"/>
          </font>
          <fill>
            <patternFill patternType="solid">
              <fgColor auto="1"/>
              <bgColor rgb="FFE97B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941834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941834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 val="0"/>
            <i/>
            <color rgb="FFC00000"/>
          </font>
          <fill>
            <patternFill patternType="solid">
              <fgColor theme="4" tint="0.79995117038483843"/>
              <bgColor rgb="FFF5839E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 tint="0.59999389629810485"/>
              <bgColor rgb="FFCC113F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rgb="FFCC113F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b/>
            <i val="0"/>
            <color rgb="FFCC113F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solid">
              <fgColor theme="6" tint="0.39997558519241921"/>
              <bgColor theme="6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6"/>
              </stop>
              <stop position="1">
                <color theme="6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6" tint="-0.249977111117893"/>
          </font>
          <border>
            <left/>
            <right/>
            <top/>
            <bottom/>
            <vertical/>
            <horizontal/>
          </border>
        </dxf>
        <dxf>
          <fill>
            <gradientFill degree="90">
              <stop position="0">
                <color rgb="FFFDA5BA"/>
              </stop>
              <stop position="1">
                <color rgb="FFFF7C80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rgb="FFE9094E"/>
              </stop>
              <stop position="1">
                <color rgb="FFC80843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Dark1 2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TimeSlicerStyleDark3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 RECURSOS.xlsm] !MARCAS_DIA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bg2">
                  <a:lumMod val="50000"/>
                </a:schemeClr>
              </a:gs>
              <a:gs pos="30000">
                <a:schemeClr val="bg2">
                  <a:lumMod val="50000"/>
                </a:schemeClr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4"/>
        <c:spPr>
          <a:gradFill>
            <a:gsLst>
              <a:gs pos="0">
                <a:schemeClr val="bg2">
                  <a:lumMod val="50000"/>
                </a:schemeClr>
              </a:gs>
              <a:gs pos="30000">
                <a:schemeClr val="bg2">
                  <a:lumMod val="50000"/>
                </a:schemeClr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5"/>
        <c:spPr>
          <a:gradFill>
            <a:gsLst>
              <a:gs pos="0">
                <a:srgbClr val="13C5DD"/>
              </a:gs>
              <a:gs pos="30000">
                <a:srgbClr val="13C5DD"/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6"/>
        <c:spPr>
          <a:gradFill>
            <a:gsLst>
              <a:gs pos="0">
                <a:srgbClr val="F6A0A0"/>
              </a:gs>
              <a:gs pos="30000">
                <a:srgbClr val="F6A0A0"/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7"/>
        <c:spPr>
          <a:gradFill>
            <a:gsLst>
              <a:gs pos="0">
                <a:srgbClr val="F6A0A0"/>
              </a:gs>
              <a:gs pos="30000">
                <a:srgbClr val="F6A0A0"/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8"/>
        <c:spPr>
          <a:gradFill>
            <a:gsLst>
              <a:gs pos="0">
                <a:srgbClr val="F6A0A0"/>
              </a:gs>
              <a:gs pos="30000">
                <a:srgbClr val="F6A0A0"/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9"/>
        <c:spPr>
          <a:gradFill>
            <a:gsLst>
              <a:gs pos="0">
                <a:srgbClr val="F6A0A0"/>
              </a:gs>
              <a:gs pos="30000">
                <a:srgbClr val="F6A0A0"/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10"/>
        <c:spPr>
          <a:gradFill>
            <a:gsLst>
              <a:gs pos="0">
                <a:srgbClr val="F6A0A0"/>
              </a:gs>
              <a:gs pos="30000">
                <a:srgbClr val="F6A0A0"/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11"/>
        <c:spPr>
          <a:gradFill>
            <a:gsLst>
              <a:gs pos="0">
                <a:srgbClr val="F38181"/>
              </a:gs>
              <a:gs pos="30000">
                <a:srgbClr val="F38181"/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12"/>
        <c:spPr>
          <a:gradFill>
            <a:gsLst>
              <a:gs pos="0">
                <a:srgbClr val="13C5DD"/>
              </a:gs>
              <a:gs pos="30000">
                <a:srgbClr val="13C5DD"/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13"/>
        <c:spPr>
          <a:gradFill>
            <a:gsLst>
              <a:gs pos="0">
                <a:srgbClr val="FF4362"/>
              </a:gs>
              <a:gs pos="30000">
                <a:srgbClr val="FF4362"/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14"/>
        <c:spPr>
          <a:gradFill>
            <a:gsLst>
              <a:gs pos="0">
                <a:srgbClr val="F38181"/>
              </a:gs>
              <a:gs pos="30000">
                <a:srgbClr val="F38181"/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15"/>
        <c:spPr>
          <a:gradFill>
            <a:gsLst>
              <a:gs pos="0">
                <a:schemeClr val="bg2">
                  <a:lumMod val="50000"/>
                </a:schemeClr>
              </a:gs>
              <a:gs pos="30000">
                <a:schemeClr val="bg2">
                  <a:lumMod val="50000"/>
                </a:schemeClr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16"/>
        <c:spPr>
          <a:gradFill>
            <a:gsLst>
              <a:gs pos="0">
                <a:srgbClr val="F53D3D"/>
              </a:gs>
              <a:gs pos="30000">
                <a:srgbClr val="F53D3D"/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17"/>
        <c:spPr>
          <a:gradFill>
            <a:gsLst>
              <a:gs pos="0">
                <a:srgbClr val="F6A0A0"/>
              </a:gs>
              <a:gs pos="30000">
                <a:srgbClr val="F6A0A0"/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18"/>
        <c:spPr>
          <a:gradFill>
            <a:gsLst>
              <a:gs pos="0">
                <a:srgbClr val="13C5DD"/>
              </a:gs>
              <a:gs pos="30000">
                <a:srgbClr val="13C5DD"/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19"/>
        <c:spPr>
          <a:gradFill>
            <a:gsLst>
              <a:gs pos="0">
                <a:srgbClr val="F6A0A0"/>
              </a:gs>
              <a:gs pos="30000">
                <a:srgbClr val="F6A0A0"/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20"/>
        <c:spPr>
          <a:gradFill>
            <a:gsLst>
              <a:gs pos="0">
                <a:srgbClr val="F6A0A0"/>
              </a:gs>
              <a:gs pos="30000">
                <a:srgbClr val="F6A0A0"/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21"/>
        <c:spPr>
          <a:gradFill>
            <a:gsLst>
              <a:gs pos="0">
                <a:schemeClr val="bg2">
                  <a:lumMod val="50000"/>
                </a:schemeClr>
              </a:gs>
              <a:gs pos="30000">
                <a:schemeClr val="bg2">
                  <a:lumMod val="50000"/>
                </a:schemeClr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22"/>
        <c:spPr>
          <a:gradFill>
            <a:gsLst>
              <a:gs pos="0">
                <a:schemeClr val="bg2">
                  <a:lumMod val="50000"/>
                </a:schemeClr>
              </a:gs>
              <a:gs pos="30000">
                <a:schemeClr val="bg2">
                  <a:lumMod val="50000"/>
                </a:schemeClr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23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 '!$L$3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bg2">
                      <a:lumMod val="50000"/>
                    </a:schemeClr>
                  </a:gs>
                  <a:gs pos="30000">
                    <a:schemeClr val="bg2">
                      <a:lumMod val="50000"/>
                    </a:schemeClr>
                  </a:gs>
                  <a:gs pos="100000">
                    <a:schemeClr val="bg1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EEF-461E-B0A7-3B5A4C1222DE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rgbClr val="13C5DD"/>
                  </a:gs>
                  <a:gs pos="30000">
                    <a:srgbClr val="13C5DD"/>
                  </a:gs>
                  <a:gs pos="100000">
                    <a:schemeClr val="bg1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EEF-461E-B0A7-3B5A4C1222DE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F53D3D"/>
                  </a:gs>
                  <a:gs pos="30000">
                    <a:srgbClr val="F53D3D"/>
                  </a:gs>
                  <a:gs pos="100000">
                    <a:schemeClr val="bg1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EEF-461E-B0A7-3B5A4C1222DE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F6A0A0"/>
                  </a:gs>
                  <a:gs pos="30000">
                    <a:srgbClr val="F6A0A0"/>
                  </a:gs>
                  <a:gs pos="100000">
                    <a:schemeClr val="bg1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EEF-461E-B0A7-3B5A4C1222DE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bg2">
                      <a:lumMod val="50000"/>
                    </a:schemeClr>
                  </a:gs>
                  <a:gs pos="30000">
                    <a:schemeClr val="bg2">
                      <a:lumMod val="50000"/>
                    </a:schemeClr>
                  </a:gs>
                  <a:gs pos="100000">
                    <a:schemeClr val="bg1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EEF-461E-B0A7-3B5A4C1222DE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F6A0A0"/>
                  </a:gs>
                  <a:gs pos="30000">
                    <a:srgbClr val="F6A0A0"/>
                  </a:gs>
                  <a:gs pos="100000">
                    <a:schemeClr val="bg1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EEF-461E-B0A7-3B5A4C1222D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 '!$K$4:$K$12</c:f>
              <c:multiLvlStrCache>
                <c:ptCount val="6"/>
                <c:lvl>
                  <c:pt idx="0">
                    <c:v>IVR INTERCOM </c:v>
                  </c:pt>
                  <c:pt idx="1">
                    <c:v>IVR TRANSACCIONAL</c:v>
                  </c:pt>
                  <c:pt idx="2">
                    <c:v>SERVICEBOTS</c:v>
                  </c:pt>
                  <c:pt idx="3">
                    <c:v>SMS SAEM</c:v>
                  </c:pt>
                  <c:pt idx="4">
                    <c:v>IVR INTERCOM </c:v>
                  </c:pt>
                  <c:pt idx="5">
                    <c:v>SMS SAEM</c:v>
                  </c:pt>
                </c:lvl>
                <c:lvl>
                  <c:pt idx="0">
                    <c:v>9 AM</c:v>
                  </c:pt>
                  <c:pt idx="4">
                    <c:v>10 AM</c:v>
                  </c:pt>
                </c:lvl>
              </c:multiLvlStrCache>
            </c:multiLvlStrRef>
          </c:cat>
          <c:val>
            <c:numRef>
              <c:f>' '!$L$4:$L$12</c:f>
              <c:numCache>
                <c:formatCode>_-* #,##0_-;\-* #,##0_-;_-* "-"??_-;_-@_-</c:formatCode>
                <c:ptCount val="6"/>
                <c:pt idx="0">
                  <c:v>84875</c:v>
                </c:pt>
                <c:pt idx="1">
                  <c:v>64540</c:v>
                </c:pt>
                <c:pt idx="2">
                  <c:v>4810</c:v>
                </c:pt>
                <c:pt idx="3">
                  <c:v>61544</c:v>
                </c:pt>
                <c:pt idx="4">
                  <c:v>296</c:v>
                </c:pt>
                <c:pt idx="5">
                  <c:v>155839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EF-461E-B0A7-3B5A4C122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6936127"/>
        <c:axId val="986936543"/>
      </c:barChart>
      <c:catAx>
        <c:axId val="986936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6936543"/>
        <c:crosses val="autoZero"/>
        <c:auto val="1"/>
        <c:lblAlgn val="ctr"/>
        <c:lblOffset val="100"/>
        <c:noMultiLvlLbl val="0"/>
      </c:catAx>
      <c:valAx>
        <c:axId val="986936543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6936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 RECURSOS.xlsm] !MARCAS_MENSUAL</c:name>
    <c:fmtId val="8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>
            <a:gsLst>
              <a:gs pos="0">
                <a:schemeClr val="bg1">
                  <a:lumMod val="75000"/>
                </a:schemeClr>
              </a:gs>
              <a:gs pos="30000">
                <a:schemeClr val="bg1">
                  <a:lumMod val="75000"/>
                </a:schemeClr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>
            <a:gsLst>
              <a:gs pos="0">
                <a:srgbClr val="33CCCC"/>
              </a:gs>
              <a:gs pos="30000">
                <a:srgbClr val="33CCCC"/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>
            <a:gsLst>
              <a:gs pos="0">
                <a:srgbClr val="666699"/>
              </a:gs>
              <a:gs pos="30000">
                <a:srgbClr val="666699"/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>
            <a:gsLst>
              <a:gs pos="0">
                <a:schemeClr val="bg1">
                  <a:lumMod val="75000"/>
                </a:schemeClr>
              </a:gs>
              <a:gs pos="30000">
                <a:schemeClr val="bg1">
                  <a:lumMod val="75000"/>
                </a:schemeClr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>
            <a:gsLst>
              <a:gs pos="0">
                <a:srgbClr val="FF7C80"/>
              </a:gs>
              <a:gs pos="33000">
                <a:srgbClr val="FF7C80"/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>
            <a:gsLst>
              <a:gs pos="0">
                <a:srgbClr val="D99694"/>
              </a:gs>
              <a:gs pos="36000">
                <a:srgbClr val="D99694"/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>
            <a:gsLst>
              <a:gs pos="0">
                <a:srgbClr val="3399FF"/>
              </a:gs>
              <a:gs pos="30000">
                <a:srgbClr val="3399FF"/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>
            <a:gsLst>
              <a:gs pos="0">
                <a:srgbClr val="00CC66"/>
              </a:gs>
              <a:gs pos="30000">
                <a:srgbClr val="00CC66"/>
              </a:gs>
              <a:gs pos="74000">
                <a:schemeClr val="bg1"/>
              </a:gs>
            </a:gsLst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>
            <a:gsLst>
              <a:gs pos="0">
                <a:schemeClr val="accent4"/>
              </a:gs>
              <a:gs pos="30000">
                <a:schemeClr val="accent4"/>
              </a:gs>
              <a:gs pos="74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>
            <a:gsLst>
              <a:gs pos="0">
                <a:srgbClr val="00CC66"/>
              </a:gs>
              <a:gs pos="30000">
                <a:srgbClr val="00CC66"/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>
            <a:gsLst>
              <a:gs pos="0">
                <a:schemeClr val="bg1">
                  <a:lumMod val="75000"/>
                </a:schemeClr>
              </a:gs>
              <a:gs pos="30000">
                <a:schemeClr val="bg1">
                  <a:lumMod val="75000"/>
                </a:schemeClr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>
            <a:gsLst>
              <a:gs pos="0">
                <a:srgbClr val="33CCCC"/>
              </a:gs>
              <a:gs pos="30000">
                <a:srgbClr val="33CCCC"/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>
            <a:gsLst>
              <a:gs pos="0">
                <a:srgbClr val="FF7C80"/>
              </a:gs>
              <a:gs pos="33000">
                <a:srgbClr val="FF7C80"/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>
            <a:gsLst>
              <a:gs pos="0">
                <a:srgbClr val="D99694"/>
              </a:gs>
              <a:gs pos="36000">
                <a:srgbClr val="D99694"/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>
            <a:gsLst>
              <a:gs pos="0">
                <a:schemeClr val="bg2">
                  <a:lumMod val="75000"/>
                </a:schemeClr>
              </a:gs>
              <a:gs pos="30000">
                <a:schemeClr val="bg1">
                  <a:lumMod val="75000"/>
                </a:schemeClr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>
            <a:gsLst>
              <a:gs pos="0">
                <a:srgbClr val="33CCCC"/>
              </a:gs>
              <a:gs pos="30000">
                <a:srgbClr val="33CCCC"/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>
            <a:gsLst>
              <a:gs pos="0">
                <a:srgbClr val="FF7C80"/>
              </a:gs>
              <a:gs pos="33000">
                <a:srgbClr val="FF7C80"/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>
            <a:gsLst>
              <a:gs pos="0">
                <a:srgbClr val="D99694"/>
              </a:gs>
              <a:gs pos="36000">
                <a:srgbClr val="D99694"/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>
            <a:gsLst>
              <a:gs pos="0">
                <a:schemeClr val="bg2">
                  <a:lumMod val="75000"/>
                </a:schemeClr>
              </a:gs>
              <a:gs pos="30000">
                <a:schemeClr val="bg1">
                  <a:lumMod val="75000"/>
                </a:schemeClr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>
            <a:gsLst>
              <a:gs pos="0">
                <a:srgbClr val="33CCCC"/>
              </a:gs>
              <a:gs pos="30000">
                <a:srgbClr val="33CCCC"/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>
            <a:gsLst>
              <a:gs pos="0">
                <a:srgbClr val="FF7C80"/>
              </a:gs>
              <a:gs pos="33000">
                <a:srgbClr val="FF7C80"/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>
            <a:gsLst>
              <a:gs pos="0">
                <a:srgbClr val="D99694"/>
              </a:gs>
              <a:gs pos="36000">
                <a:srgbClr val="D99694"/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>
            <a:gsLst>
              <a:gs pos="0">
                <a:schemeClr val="bg2">
                  <a:lumMod val="75000"/>
                </a:schemeClr>
              </a:gs>
              <a:gs pos="30000">
                <a:schemeClr val="bg1">
                  <a:lumMod val="75000"/>
                </a:schemeClr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>
            <a:gsLst>
              <a:gs pos="0">
                <a:srgbClr val="33CCCC"/>
              </a:gs>
              <a:gs pos="30000">
                <a:srgbClr val="33CCCC"/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>
            <a:gsLst>
              <a:gs pos="0">
                <a:srgbClr val="FF7C80"/>
              </a:gs>
              <a:gs pos="33000">
                <a:srgbClr val="FF7C80"/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>
            <a:gsLst>
              <a:gs pos="0">
                <a:srgbClr val="D99694"/>
              </a:gs>
              <a:gs pos="36000">
                <a:srgbClr val="D99694"/>
              </a:gs>
              <a:gs pos="100000">
                <a:schemeClr val="bg1"/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C8084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444401167044665E-2"/>
          <c:y val="2.8029993095833483E-2"/>
          <c:w val="0.9351858048446563"/>
          <c:h val="0.90813385455342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8084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 '!$R$2:$R$15</c:f>
              <c:strCache>
                <c:ptCount val="13"/>
                <c:pt idx="0">
                  <c:v>CASTIGO</c:v>
                </c:pt>
                <c:pt idx="1">
                  <c:v>GMAC</c:v>
                </c:pt>
                <c:pt idx="2">
                  <c:v>MORA 0</c:v>
                </c:pt>
                <c:pt idx="3">
                  <c:v>MORA 120</c:v>
                </c:pt>
                <c:pt idx="4">
                  <c:v>MORA 150</c:v>
                </c:pt>
                <c:pt idx="5">
                  <c:v>MORA 180</c:v>
                </c:pt>
                <c:pt idx="6">
                  <c:v>MORA 210</c:v>
                </c:pt>
                <c:pt idx="7">
                  <c:v>MORA 30</c:v>
                </c:pt>
                <c:pt idx="8">
                  <c:v>MORA 60</c:v>
                </c:pt>
                <c:pt idx="9">
                  <c:v>MORA 90</c:v>
                </c:pt>
                <c:pt idx="10">
                  <c:v>PASH</c:v>
                </c:pt>
                <c:pt idx="11">
                  <c:v>POTENCIAL</c:v>
                </c:pt>
                <c:pt idx="12">
                  <c:v>PRECHURN</c:v>
                </c:pt>
              </c:strCache>
            </c:strRef>
          </c:cat>
          <c:val>
            <c:numRef>
              <c:f>' '!$S$2:$S$15</c:f>
              <c:numCache>
                <c:formatCode>_-* #,##0_-;\-* #,##0_-;_-* "-"??_-;_-@_-</c:formatCode>
                <c:ptCount val="13"/>
                <c:pt idx="0">
                  <c:v>2084504</c:v>
                </c:pt>
                <c:pt idx="1">
                  <c:v>3067</c:v>
                </c:pt>
                <c:pt idx="2">
                  <c:v>1398610</c:v>
                </c:pt>
                <c:pt idx="3">
                  <c:v>15705</c:v>
                </c:pt>
                <c:pt idx="4">
                  <c:v>11185</c:v>
                </c:pt>
                <c:pt idx="5">
                  <c:v>15381</c:v>
                </c:pt>
                <c:pt idx="6">
                  <c:v>311490</c:v>
                </c:pt>
                <c:pt idx="7">
                  <c:v>286897</c:v>
                </c:pt>
                <c:pt idx="8">
                  <c:v>174226</c:v>
                </c:pt>
                <c:pt idx="9">
                  <c:v>18921</c:v>
                </c:pt>
                <c:pt idx="10">
                  <c:v>76785</c:v>
                </c:pt>
                <c:pt idx="11">
                  <c:v>1064899</c:v>
                </c:pt>
                <c:pt idx="12">
                  <c:v>1018891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CB-4FC4-A107-7E45B3CD83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69819615"/>
        <c:axId val="269818367"/>
      </c:barChart>
      <c:catAx>
        <c:axId val="269819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9818367"/>
        <c:crosses val="autoZero"/>
        <c:auto val="1"/>
        <c:lblAlgn val="ctr"/>
        <c:lblOffset val="100"/>
        <c:noMultiLvlLbl val="0"/>
      </c:catAx>
      <c:valAx>
        <c:axId val="26981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9819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9.svg"/><Relationship Id="rId7" Type="http://schemas.openxmlformats.org/officeDocument/2006/relationships/image" Target="../media/image23.svg"/><Relationship Id="rId12" Type="http://schemas.openxmlformats.org/officeDocument/2006/relationships/image" Target="../media/image17.png"/><Relationship Id="rId2" Type="http://schemas.openxmlformats.org/officeDocument/2006/relationships/image" Target="../media/image18.png"/><Relationship Id="rId1" Type="http://schemas.openxmlformats.org/officeDocument/2006/relationships/chart" Target="../charts/chart2.xml"/><Relationship Id="rId6" Type="http://schemas.openxmlformats.org/officeDocument/2006/relationships/image" Target="../media/image22.png"/><Relationship Id="rId11" Type="http://schemas.openxmlformats.org/officeDocument/2006/relationships/image" Target="../media/image27.svg"/><Relationship Id="rId5" Type="http://schemas.openxmlformats.org/officeDocument/2006/relationships/image" Target="../media/image21.svg"/><Relationship Id="rId10" Type="http://schemas.openxmlformats.org/officeDocument/2006/relationships/image" Target="../media/image26.png"/><Relationship Id="rId4" Type="http://schemas.openxmlformats.org/officeDocument/2006/relationships/image" Target="../media/image20.png"/><Relationship Id="rId9" Type="http://schemas.openxmlformats.org/officeDocument/2006/relationships/image" Target="../media/image2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44</xdr:col>
      <xdr:colOff>504825</xdr:colOff>
      <xdr:row>32</xdr:row>
      <xdr:rowOff>123825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BF8446F6-555B-47BC-8B4D-76C82E154120}"/>
            </a:ext>
          </a:extLst>
        </xdr:cNvPr>
        <xdr:cNvSpPr/>
      </xdr:nvSpPr>
      <xdr:spPr>
        <a:xfrm>
          <a:off x="0" y="0"/>
          <a:ext cx="44948475" cy="621982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6</xdr:row>
      <xdr:rowOff>84735</xdr:rowOff>
    </xdr:from>
    <xdr:to>
      <xdr:col>14</xdr:col>
      <xdr:colOff>721567</xdr:colOff>
      <xdr:row>9</xdr:row>
      <xdr:rowOff>113309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C4DA4216-05C7-4DA0-96BA-8CE218C75177}"/>
            </a:ext>
          </a:extLst>
        </xdr:cNvPr>
        <xdr:cNvGrpSpPr/>
      </xdr:nvGrpSpPr>
      <xdr:grpSpPr>
        <a:xfrm>
          <a:off x="266700" y="1227735"/>
          <a:ext cx="11122867" cy="611280"/>
          <a:chOff x="266700" y="226219"/>
          <a:chExt cx="11122867" cy="600074"/>
        </a:xfrm>
        <a:solidFill>
          <a:srgbClr val="C50742"/>
        </a:solidFill>
      </xdr:grpSpPr>
      <xdr:grpSp>
        <xdr:nvGrpSpPr>
          <xdr:cNvPr id="3" name="Grupo 2">
            <a:extLst>
              <a:ext uri="{FF2B5EF4-FFF2-40B4-BE49-F238E27FC236}">
                <a16:creationId xmlns:a16="http://schemas.microsoft.com/office/drawing/2014/main" id="{91D26D5D-6C13-427F-867C-4BDF10126C2D}"/>
              </a:ext>
            </a:extLst>
          </xdr:cNvPr>
          <xdr:cNvGrpSpPr/>
        </xdr:nvGrpSpPr>
        <xdr:grpSpPr>
          <a:xfrm>
            <a:off x="266700" y="226219"/>
            <a:ext cx="1198328" cy="600074"/>
            <a:chOff x="762000" y="190500"/>
            <a:chExt cx="1188000" cy="612000"/>
          </a:xfrm>
          <a:grpFill/>
        </xdr:grpSpPr>
        <xdr:sp macro="" textlink="">
          <xdr:nvSpPr>
            <xdr:cNvPr id="32" name="Rectángulo: esquinas redondeadas 31">
              <a:extLst>
                <a:ext uri="{FF2B5EF4-FFF2-40B4-BE49-F238E27FC236}">
                  <a16:creationId xmlns:a16="http://schemas.microsoft.com/office/drawing/2014/main" id="{82CC8D42-D275-4EF1-B919-D4FD4FCC0716}"/>
                </a:ext>
              </a:extLst>
            </xdr:cNvPr>
            <xdr:cNvSpPr/>
          </xdr:nvSpPr>
          <xdr:spPr>
            <a:xfrm>
              <a:off x="762000" y="190500"/>
              <a:ext cx="1188000" cy="612000"/>
            </a:xfrm>
            <a:prstGeom prst="roundRect">
              <a:avLst>
                <a:gd name="adj" fmla="val 1901"/>
              </a:avLst>
            </a:prstGeom>
            <a:grpFill/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33" name="Rectángulo 32">
              <a:extLst>
                <a:ext uri="{FF2B5EF4-FFF2-40B4-BE49-F238E27FC236}">
                  <a16:creationId xmlns:a16="http://schemas.microsoft.com/office/drawing/2014/main" id="{B96AA8D5-4CEE-49A4-8961-EBD2DA13EF5B}"/>
                </a:ext>
              </a:extLst>
            </xdr:cNvPr>
            <xdr:cNvSpPr/>
          </xdr:nvSpPr>
          <xdr:spPr>
            <a:xfrm>
              <a:off x="781311" y="212939"/>
              <a:ext cx="914283" cy="326399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200" b="1">
                  <a:solidFill>
                    <a:schemeClr val="bg1"/>
                  </a:solidFill>
                </a:rPr>
                <a:t>MARCA 0</a:t>
              </a:r>
            </a:p>
          </xdr:txBody>
        </xdr:sp>
        <xdr:sp macro="" textlink="' '!I1">
          <xdr:nvSpPr>
            <xdr:cNvPr id="34" name="Rectángulo 33">
              <a:extLst>
                <a:ext uri="{FF2B5EF4-FFF2-40B4-BE49-F238E27FC236}">
                  <a16:creationId xmlns:a16="http://schemas.microsoft.com/office/drawing/2014/main" id="{238382DD-BE74-4ECA-BD8D-9E86E6726E58}"/>
                </a:ext>
              </a:extLst>
            </xdr:cNvPr>
            <xdr:cNvSpPr/>
          </xdr:nvSpPr>
          <xdr:spPr>
            <a:xfrm>
              <a:off x="800101" y="445498"/>
              <a:ext cx="1132866" cy="326399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fld id="{099630CA-6BAF-4610-B9A1-186118EEFFE5}" type="TxLink">
                <a:rPr lang="en-US" sz="1400" b="1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marL="0" indent="0" algn="r"/>
                <a:t> 112,503 </a:t>
              </a:fld>
              <a:endParaRPr lang="es-CO" sz="14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endParaRPr>
            </a:p>
          </xdr:txBody>
        </xdr:sp>
      </xdr:grpSp>
      <xdr:grpSp>
        <xdr:nvGrpSpPr>
          <xdr:cNvPr id="4" name="Grupo 3">
            <a:extLst>
              <a:ext uri="{FF2B5EF4-FFF2-40B4-BE49-F238E27FC236}">
                <a16:creationId xmlns:a16="http://schemas.microsoft.com/office/drawing/2014/main" id="{E9F26D98-68EB-4BCB-9F94-0E9E98E6084E}"/>
              </a:ext>
            </a:extLst>
          </xdr:cNvPr>
          <xdr:cNvGrpSpPr/>
        </xdr:nvGrpSpPr>
        <xdr:grpSpPr>
          <a:xfrm>
            <a:off x="1682740" y="226219"/>
            <a:ext cx="1198328" cy="600074"/>
            <a:chOff x="762000" y="190500"/>
            <a:chExt cx="1188000" cy="612000"/>
          </a:xfrm>
          <a:grpFill/>
        </xdr:grpSpPr>
        <xdr:sp macro="" textlink="">
          <xdr:nvSpPr>
            <xdr:cNvPr id="29" name="Rectángulo: esquinas redondeadas 28">
              <a:extLst>
                <a:ext uri="{FF2B5EF4-FFF2-40B4-BE49-F238E27FC236}">
                  <a16:creationId xmlns:a16="http://schemas.microsoft.com/office/drawing/2014/main" id="{6893EB33-5113-4DFA-A1A7-0C4D629B1A2E}"/>
                </a:ext>
              </a:extLst>
            </xdr:cNvPr>
            <xdr:cNvSpPr/>
          </xdr:nvSpPr>
          <xdr:spPr>
            <a:xfrm>
              <a:off x="762000" y="190500"/>
              <a:ext cx="1188000" cy="612000"/>
            </a:xfrm>
            <a:prstGeom prst="roundRect">
              <a:avLst>
                <a:gd name="adj" fmla="val 1901"/>
              </a:avLst>
            </a:prstGeom>
            <a:grpFill/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30" name="Rectángulo 29">
              <a:extLst>
                <a:ext uri="{FF2B5EF4-FFF2-40B4-BE49-F238E27FC236}">
                  <a16:creationId xmlns:a16="http://schemas.microsoft.com/office/drawing/2014/main" id="{1A44F5C0-8924-45A2-B57C-BA3140F43F3C}"/>
                </a:ext>
              </a:extLst>
            </xdr:cNvPr>
            <xdr:cNvSpPr/>
          </xdr:nvSpPr>
          <xdr:spPr>
            <a:xfrm>
              <a:off x="781311" y="212939"/>
              <a:ext cx="914283" cy="326399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200" b="1">
                  <a:solidFill>
                    <a:schemeClr val="bg1"/>
                  </a:solidFill>
                </a:rPr>
                <a:t>MARCA 30</a:t>
              </a:r>
            </a:p>
          </xdr:txBody>
        </xdr:sp>
        <xdr:sp macro="" textlink="' '!I2">
          <xdr:nvSpPr>
            <xdr:cNvPr id="31" name="Rectángulo 30">
              <a:extLst>
                <a:ext uri="{FF2B5EF4-FFF2-40B4-BE49-F238E27FC236}">
                  <a16:creationId xmlns:a16="http://schemas.microsoft.com/office/drawing/2014/main" id="{035FED74-25BA-427A-A076-9D3866697E94}"/>
                </a:ext>
              </a:extLst>
            </xdr:cNvPr>
            <xdr:cNvSpPr/>
          </xdr:nvSpPr>
          <xdr:spPr>
            <a:xfrm>
              <a:off x="763125" y="445498"/>
              <a:ext cx="1169841" cy="326399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fld id="{70488398-5303-491E-92DC-67CDC320701C}" type="TxLink">
                <a:rPr lang="en-US" sz="1400" b="1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r"/>
                <a:t> 16,384 </a:t>
              </a:fld>
              <a:endParaRPr lang="es-CO" sz="2400" b="1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8351A66E-9BF0-4686-9C4D-26DBE86CAF73}"/>
              </a:ext>
            </a:extLst>
          </xdr:cNvPr>
          <xdr:cNvGrpSpPr/>
        </xdr:nvGrpSpPr>
        <xdr:grpSpPr>
          <a:xfrm>
            <a:off x="3098781" y="226219"/>
            <a:ext cx="1198328" cy="600074"/>
            <a:chOff x="762000" y="190500"/>
            <a:chExt cx="1188000" cy="612000"/>
          </a:xfrm>
          <a:grpFill/>
        </xdr:grpSpPr>
        <xdr:sp macro="" textlink="">
          <xdr:nvSpPr>
            <xdr:cNvPr id="26" name="Rectángulo: esquinas redondeadas 25">
              <a:extLst>
                <a:ext uri="{FF2B5EF4-FFF2-40B4-BE49-F238E27FC236}">
                  <a16:creationId xmlns:a16="http://schemas.microsoft.com/office/drawing/2014/main" id="{FC90A540-1684-4B3E-BC5A-946D590888EB}"/>
                </a:ext>
              </a:extLst>
            </xdr:cNvPr>
            <xdr:cNvSpPr/>
          </xdr:nvSpPr>
          <xdr:spPr>
            <a:xfrm>
              <a:off x="762000" y="190500"/>
              <a:ext cx="1188000" cy="612000"/>
            </a:xfrm>
            <a:prstGeom prst="roundRect">
              <a:avLst>
                <a:gd name="adj" fmla="val 1901"/>
              </a:avLst>
            </a:prstGeom>
            <a:grpFill/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7" name="Rectángulo 26">
              <a:extLst>
                <a:ext uri="{FF2B5EF4-FFF2-40B4-BE49-F238E27FC236}">
                  <a16:creationId xmlns:a16="http://schemas.microsoft.com/office/drawing/2014/main" id="{3FCC27BD-D689-48C9-99BA-1C245AB61B36}"/>
                </a:ext>
              </a:extLst>
            </xdr:cNvPr>
            <xdr:cNvSpPr/>
          </xdr:nvSpPr>
          <xdr:spPr>
            <a:xfrm>
              <a:off x="781311" y="212939"/>
              <a:ext cx="914283" cy="326399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200" b="1">
                  <a:solidFill>
                    <a:schemeClr val="bg1"/>
                  </a:solidFill>
                </a:rPr>
                <a:t>MARCA 60</a:t>
              </a:r>
            </a:p>
          </xdr:txBody>
        </xdr:sp>
        <xdr:sp macro="" textlink="' '!I3">
          <xdr:nvSpPr>
            <xdr:cNvPr id="28" name="Rectángulo 27">
              <a:extLst>
                <a:ext uri="{FF2B5EF4-FFF2-40B4-BE49-F238E27FC236}">
                  <a16:creationId xmlns:a16="http://schemas.microsoft.com/office/drawing/2014/main" id="{EE027967-B6F2-4719-8678-ABEE8B4F7BBB}"/>
                </a:ext>
              </a:extLst>
            </xdr:cNvPr>
            <xdr:cNvSpPr/>
          </xdr:nvSpPr>
          <xdr:spPr>
            <a:xfrm>
              <a:off x="764251" y="445498"/>
              <a:ext cx="1168716" cy="326399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fld id="{456A230A-328C-451F-8788-D9C91CE438CE}" type="TxLink">
                <a:rPr lang="en-US" sz="1400" b="1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r"/>
                <a:t> 17,422 </a:t>
              </a:fld>
              <a:endParaRPr lang="es-CO" sz="2400" b="1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6AE5BF61-00A2-4EE1-BEE6-2971FE3411BE}"/>
              </a:ext>
            </a:extLst>
          </xdr:cNvPr>
          <xdr:cNvGrpSpPr/>
        </xdr:nvGrpSpPr>
        <xdr:grpSpPr>
          <a:xfrm>
            <a:off x="5930862" y="226219"/>
            <a:ext cx="1210583" cy="600074"/>
            <a:chOff x="762000" y="190500"/>
            <a:chExt cx="1200150" cy="612000"/>
          </a:xfrm>
          <a:grpFill/>
        </xdr:grpSpPr>
        <xdr:sp macro="" textlink="">
          <xdr:nvSpPr>
            <xdr:cNvPr id="23" name="Rectángulo: esquinas redondeadas 22">
              <a:extLst>
                <a:ext uri="{FF2B5EF4-FFF2-40B4-BE49-F238E27FC236}">
                  <a16:creationId xmlns:a16="http://schemas.microsoft.com/office/drawing/2014/main" id="{BCEC0DED-43C8-469F-AFE4-3EA2B7F1A587}"/>
                </a:ext>
              </a:extLst>
            </xdr:cNvPr>
            <xdr:cNvSpPr/>
          </xdr:nvSpPr>
          <xdr:spPr>
            <a:xfrm>
              <a:off x="762000" y="190500"/>
              <a:ext cx="1188000" cy="612000"/>
            </a:xfrm>
            <a:prstGeom prst="roundRect">
              <a:avLst>
                <a:gd name="adj" fmla="val 1901"/>
              </a:avLst>
            </a:prstGeom>
            <a:grpFill/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719EFDEB-7CC6-4C88-A870-267410D80688}"/>
                </a:ext>
              </a:extLst>
            </xdr:cNvPr>
            <xdr:cNvSpPr/>
          </xdr:nvSpPr>
          <xdr:spPr>
            <a:xfrm>
              <a:off x="781311" y="212939"/>
              <a:ext cx="1180839" cy="326399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100" b="1">
                  <a:solidFill>
                    <a:schemeClr val="bg1"/>
                  </a:solidFill>
                </a:rPr>
                <a:t>MARCA 120/210</a:t>
              </a:r>
            </a:p>
          </xdr:txBody>
        </xdr:sp>
        <xdr:sp macro="" textlink="' '!J5">
          <xdr:nvSpPr>
            <xdr:cNvPr id="25" name="Rectángulo 24">
              <a:extLst>
                <a:ext uri="{FF2B5EF4-FFF2-40B4-BE49-F238E27FC236}">
                  <a16:creationId xmlns:a16="http://schemas.microsoft.com/office/drawing/2014/main" id="{6A072A3E-803C-4D55-AA0D-8FD9F467FF20}"/>
                </a:ext>
              </a:extLst>
            </xdr:cNvPr>
            <xdr:cNvSpPr/>
          </xdr:nvSpPr>
          <xdr:spPr>
            <a:xfrm>
              <a:off x="823651" y="445498"/>
              <a:ext cx="1109316" cy="326399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fld id="{A3559000-3667-4477-93D1-37B05F599278}" type="TxLink">
                <a:rPr lang="en-US" sz="1400" b="1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r"/>
                <a:t> 70,508 </a:t>
              </a:fld>
              <a:endParaRPr lang="es-CO" sz="2400" b="1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8E34049F-2B5E-465C-826A-6883AE456D2E}"/>
              </a:ext>
            </a:extLst>
          </xdr:cNvPr>
          <xdr:cNvGrpSpPr/>
        </xdr:nvGrpSpPr>
        <xdr:grpSpPr>
          <a:xfrm>
            <a:off x="4514821" y="226219"/>
            <a:ext cx="1198328" cy="600074"/>
            <a:chOff x="762000" y="190500"/>
            <a:chExt cx="1188000" cy="612000"/>
          </a:xfrm>
          <a:grpFill/>
        </xdr:grpSpPr>
        <xdr:sp macro="" textlink="">
          <xdr:nvSpPr>
            <xdr:cNvPr id="20" name="Rectángulo: esquinas redondeadas 19">
              <a:extLst>
                <a:ext uri="{FF2B5EF4-FFF2-40B4-BE49-F238E27FC236}">
                  <a16:creationId xmlns:a16="http://schemas.microsoft.com/office/drawing/2014/main" id="{7E574777-8614-4771-8F48-3DFCFB1AA8D5}"/>
                </a:ext>
              </a:extLst>
            </xdr:cNvPr>
            <xdr:cNvSpPr/>
          </xdr:nvSpPr>
          <xdr:spPr>
            <a:xfrm>
              <a:off x="762000" y="190500"/>
              <a:ext cx="1188000" cy="612000"/>
            </a:xfrm>
            <a:prstGeom prst="roundRect">
              <a:avLst>
                <a:gd name="adj" fmla="val 1901"/>
              </a:avLst>
            </a:prstGeom>
            <a:grpFill/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F73E577C-4C59-4FC2-A4BA-5875438E4D5F}"/>
                </a:ext>
              </a:extLst>
            </xdr:cNvPr>
            <xdr:cNvSpPr/>
          </xdr:nvSpPr>
          <xdr:spPr>
            <a:xfrm>
              <a:off x="781311" y="212939"/>
              <a:ext cx="914283" cy="326399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200" b="1">
                  <a:solidFill>
                    <a:schemeClr val="bg1"/>
                  </a:solidFill>
                </a:rPr>
                <a:t>MARCA 90</a:t>
              </a:r>
            </a:p>
          </xdr:txBody>
        </xdr:sp>
        <xdr:sp macro="" textlink="' '!I4">
          <xdr:nvSpPr>
            <xdr:cNvPr id="22" name="Rectángulo 21">
              <a:extLst>
                <a:ext uri="{FF2B5EF4-FFF2-40B4-BE49-F238E27FC236}">
                  <a16:creationId xmlns:a16="http://schemas.microsoft.com/office/drawing/2014/main" id="{CBE6C55F-0FE1-4175-9EBE-A40A5319CE02}"/>
                </a:ext>
              </a:extLst>
            </xdr:cNvPr>
            <xdr:cNvSpPr/>
          </xdr:nvSpPr>
          <xdr:spPr>
            <a:xfrm>
              <a:off x="832051" y="445498"/>
              <a:ext cx="1100916" cy="326399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fld id="{C7B91081-F827-4EB2-9D43-03F4E352B69C}" type="TxLink">
                <a:rPr lang="en-US" sz="1400" b="1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r"/>
                <a:t> 3,344 </a:t>
              </a:fld>
              <a:endParaRPr lang="es-CO" sz="2400" b="1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A5CAE619-90DF-4113-A231-364D73D6E947}"/>
              </a:ext>
            </a:extLst>
          </xdr:cNvPr>
          <xdr:cNvGrpSpPr/>
        </xdr:nvGrpSpPr>
        <xdr:grpSpPr>
          <a:xfrm>
            <a:off x="7359157" y="226219"/>
            <a:ext cx="1198327" cy="600074"/>
            <a:chOff x="762000" y="190500"/>
            <a:chExt cx="1188000" cy="612000"/>
          </a:xfrm>
          <a:grpFill/>
        </xdr:grpSpPr>
        <xdr:sp macro="" textlink="">
          <xdr:nvSpPr>
            <xdr:cNvPr id="17" name="Rectángulo: esquinas redondeadas 16">
              <a:extLst>
                <a:ext uri="{FF2B5EF4-FFF2-40B4-BE49-F238E27FC236}">
                  <a16:creationId xmlns:a16="http://schemas.microsoft.com/office/drawing/2014/main" id="{00B8A9BE-2084-4DF2-A605-15D6816AD7CB}"/>
                </a:ext>
              </a:extLst>
            </xdr:cNvPr>
            <xdr:cNvSpPr/>
          </xdr:nvSpPr>
          <xdr:spPr>
            <a:xfrm>
              <a:off x="762000" y="190500"/>
              <a:ext cx="1188000" cy="612000"/>
            </a:xfrm>
            <a:prstGeom prst="roundRect">
              <a:avLst>
                <a:gd name="adj" fmla="val 1901"/>
              </a:avLst>
            </a:prstGeom>
            <a:grpFill/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8" name="Rectángulo 17">
              <a:extLst>
                <a:ext uri="{FF2B5EF4-FFF2-40B4-BE49-F238E27FC236}">
                  <a16:creationId xmlns:a16="http://schemas.microsoft.com/office/drawing/2014/main" id="{3E1D8CEA-A439-4B44-8424-8AC8EC99BD57}"/>
                </a:ext>
              </a:extLst>
            </xdr:cNvPr>
            <xdr:cNvSpPr/>
          </xdr:nvSpPr>
          <xdr:spPr>
            <a:xfrm>
              <a:off x="781311" y="212939"/>
              <a:ext cx="1140190" cy="326399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100" b="1">
                  <a:solidFill>
                    <a:schemeClr val="bg1"/>
                  </a:solidFill>
                </a:rPr>
                <a:t>POTENCIAL</a:t>
              </a:r>
            </a:p>
          </xdr:txBody>
        </xdr:sp>
        <xdr:sp macro="" textlink="' '!I10">
          <xdr:nvSpPr>
            <xdr:cNvPr id="19" name="Rectángulo 18">
              <a:extLst>
                <a:ext uri="{FF2B5EF4-FFF2-40B4-BE49-F238E27FC236}">
                  <a16:creationId xmlns:a16="http://schemas.microsoft.com/office/drawing/2014/main" id="{51254145-A76F-4D68-9329-916760B92F93}"/>
                </a:ext>
              </a:extLst>
            </xdr:cNvPr>
            <xdr:cNvSpPr/>
          </xdr:nvSpPr>
          <xdr:spPr>
            <a:xfrm>
              <a:off x="1018683" y="445498"/>
              <a:ext cx="914283" cy="326399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fld id="{FB30FE2E-A315-4D70-B1C5-7CA0CAD64DE6}" type="TxLink">
                <a:rPr lang="en-US" sz="1400" b="1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r"/>
                <a:t> 60,124 </a:t>
              </a:fld>
              <a:endParaRPr lang="es-CO" sz="2400" b="1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4F94D7F-5B6A-40DC-9CB5-A7D3D508FE03}"/>
              </a:ext>
            </a:extLst>
          </xdr:cNvPr>
          <xdr:cNvGrpSpPr/>
        </xdr:nvGrpSpPr>
        <xdr:grpSpPr>
          <a:xfrm>
            <a:off x="8775196" y="226219"/>
            <a:ext cx="1198328" cy="600074"/>
            <a:chOff x="762000" y="190500"/>
            <a:chExt cx="1188000" cy="612000"/>
          </a:xfrm>
          <a:grpFill/>
        </xdr:grpSpPr>
        <xdr:sp macro="" textlink="">
          <xdr:nvSpPr>
            <xdr:cNvPr id="14" name="Rectángulo: esquinas redondeadas 13">
              <a:extLst>
                <a:ext uri="{FF2B5EF4-FFF2-40B4-BE49-F238E27FC236}">
                  <a16:creationId xmlns:a16="http://schemas.microsoft.com/office/drawing/2014/main" id="{E95958CC-6976-4530-8716-6E5CBB38378A}"/>
                </a:ext>
              </a:extLst>
            </xdr:cNvPr>
            <xdr:cNvSpPr/>
          </xdr:nvSpPr>
          <xdr:spPr>
            <a:xfrm>
              <a:off x="762000" y="190500"/>
              <a:ext cx="1188000" cy="612000"/>
            </a:xfrm>
            <a:prstGeom prst="roundRect">
              <a:avLst>
                <a:gd name="adj" fmla="val 1901"/>
              </a:avLst>
            </a:prstGeom>
            <a:grpFill/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9DCBB65C-8BD3-432C-B231-342CA1199F4A}"/>
                </a:ext>
              </a:extLst>
            </xdr:cNvPr>
            <xdr:cNvSpPr/>
          </xdr:nvSpPr>
          <xdr:spPr>
            <a:xfrm>
              <a:off x="771786" y="212939"/>
              <a:ext cx="1141287" cy="326399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100" b="1">
                  <a:solidFill>
                    <a:schemeClr val="bg1"/>
                  </a:solidFill>
                </a:rPr>
                <a:t>PRECHURN</a:t>
              </a:r>
            </a:p>
          </xdr:txBody>
        </xdr:sp>
        <xdr:sp macro="" textlink="' '!I9">
          <xdr:nvSpPr>
            <xdr:cNvPr id="16" name="Rectángulo 15">
              <a:extLst>
                <a:ext uri="{FF2B5EF4-FFF2-40B4-BE49-F238E27FC236}">
                  <a16:creationId xmlns:a16="http://schemas.microsoft.com/office/drawing/2014/main" id="{8F1A4F3D-3824-40D9-96AF-60DCB0620EE5}"/>
                </a:ext>
              </a:extLst>
            </xdr:cNvPr>
            <xdr:cNvSpPr/>
          </xdr:nvSpPr>
          <xdr:spPr>
            <a:xfrm>
              <a:off x="839701" y="445498"/>
              <a:ext cx="1093266" cy="326399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fld id="{81E7028C-1BFD-4F09-9368-47701A3E67FA}" type="TxLink">
                <a:rPr lang="en-US" sz="1400" b="1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r"/>
                <a:t> 91,105 </a:t>
              </a:fld>
              <a:endParaRPr lang="es-CO" sz="2400" b="1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7B78D141-D425-4A4B-92CD-3469FA47C5BC}"/>
              </a:ext>
            </a:extLst>
          </xdr:cNvPr>
          <xdr:cNvGrpSpPr/>
        </xdr:nvGrpSpPr>
        <xdr:grpSpPr>
          <a:xfrm>
            <a:off x="10191239" y="226219"/>
            <a:ext cx="1198328" cy="600074"/>
            <a:chOff x="762000" y="190500"/>
            <a:chExt cx="1188000" cy="612000"/>
          </a:xfrm>
          <a:grpFill/>
        </xdr:grpSpPr>
        <xdr:sp macro="" textlink="">
          <xdr:nvSpPr>
            <xdr:cNvPr id="11" name="Rectángulo: esquinas redondeadas 10">
              <a:extLst>
                <a:ext uri="{FF2B5EF4-FFF2-40B4-BE49-F238E27FC236}">
                  <a16:creationId xmlns:a16="http://schemas.microsoft.com/office/drawing/2014/main" id="{57D98C6E-C91A-4B85-9481-6D6DEB15A0D7}"/>
                </a:ext>
              </a:extLst>
            </xdr:cNvPr>
            <xdr:cNvSpPr/>
          </xdr:nvSpPr>
          <xdr:spPr>
            <a:xfrm>
              <a:off x="762000" y="190500"/>
              <a:ext cx="1188000" cy="612000"/>
            </a:xfrm>
            <a:prstGeom prst="roundRect">
              <a:avLst>
                <a:gd name="adj" fmla="val 1901"/>
              </a:avLst>
            </a:prstGeom>
            <a:grpFill/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4750DB74-8589-4941-86DE-85A32F29786F}"/>
                </a:ext>
              </a:extLst>
            </xdr:cNvPr>
            <xdr:cNvSpPr/>
          </xdr:nvSpPr>
          <xdr:spPr>
            <a:xfrm>
              <a:off x="771786" y="212939"/>
              <a:ext cx="1132847" cy="326399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100" b="1">
                  <a:solidFill>
                    <a:schemeClr val="bg1"/>
                  </a:solidFill>
                </a:rPr>
                <a:t>CASTIGO</a:t>
              </a:r>
            </a:p>
          </xdr:txBody>
        </xdr:sp>
        <xdr:sp macro="" textlink="' '!I11">
          <xdr:nvSpPr>
            <xdr:cNvPr id="13" name="Rectángulo 12">
              <a:extLst>
                <a:ext uri="{FF2B5EF4-FFF2-40B4-BE49-F238E27FC236}">
                  <a16:creationId xmlns:a16="http://schemas.microsoft.com/office/drawing/2014/main" id="{AE2B9367-6482-44EF-91D5-FB1DF58C9030}"/>
                </a:ext>
              </a:extLst>
            </xdr:cNvPr>
            <xdr:cNvSpPr/>
          </xdr:nvSpPr>
          <xdr:spPr>
            <a:xfrm>
              <a:off x="809625" y="445498"/>
              <a:ext cx="1123341" cy="326399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fld id="{67E537CB-6478-4424-AB0A-61F6EAAFF8A2}" type="TxLink">
                <a:rPr lang="en-US" sz="1400" b="1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r"/>
                <a:t> -   </a:t>
              </a:fld>
              <a:endParaRPr lang="es-CO" sz="24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0</xdr:col>
      <xdr:colOff>442913</xdr:colOff>
      <xdr:row>33</xdr:row>
      <xdr:rowOff>171439</xdr:rowOff>
    </xdr:from>
    <xdr:to>
      <xdr:col>14</xdr:col>
      <xdr:colOff>697707</xdr:colOff>
      <xdr:row>42</xdr:row>
      <xdr:rowOff>150006</xdr:rowOff>
    </xdr:to>
    <xdr:grpSp>
      <xdr:nvGrpSpPr>
        <xdr:cNvPr id="36" name="Grupo 35">
          <a:extLst>
            <a:ext uri="{FF2B5EF4-FFF2-40B4-BE49-F238E27FC236}">
              <a16:creationId xmlns:a16="http://schemas.microsoft.com/office/drawing/2014/main" id="{F7AFBD61-07BA-442E-A5D2-9C04820FE343}"/>
            </a:ext>
          </a:extLst>
        </xdr:cNvPr>
        <xdr:cNvGrpSpPr/>
      </xdr:nvGrpSpPr>
      <xdr:grpSpPr>
        <a:xfrm>
          <a:off x="442913" y="6469145"/>
          <a:ext cx="10922794" cy="1693067"/>
          <a:chOff x="2926553" y="4819652"/>
          <a:chExt cx="10922794" cy="1693067"/>
        </a:xfrm>
      </xdr:grpSpPr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DF9476F1-6C0B-4A74-B175-C5209B9A181F}"/>
              </a:ext>
            </a:extLst>
          </xdr:cNvPr>
          <xdr:cNvGrpSpPr/>
        </xdr:nvGrpSpPr>
        <xdr:grpSpPr>
          <a:xfrm>
            <a:off x="2936078" y="4819652"/>
            <a:ext cx="2490787" cy="714375"/>
            <a:chOff x="3031326" y="4831558"/>
            <a:chExt cx="2490787" cy="714375"/>
          </a:xfrm>
        </xdr:grpSpPr>
        <xdr:sp macro="" textlink="">
          <xdr:nvSpPr>
            <xdr:cNvPr id="74" name="Rectángulo: esquinas redondeadas 73">
              <a:extLst>
                <a:ext uri="{FF2B5EF4-FFF2-40B4-BE49-F238E27FC236}">
                  <a16:creationId xmlns:a16="http://schemas.microsoft.com/office/drawing/2014/main" id="{E099A157-0A98-494A-BF90-CCB6EB91EC5D}"/>
                </a:ext>
              </a:extLst>
            </xdr:cNvPr>
            <xdr:cNvSpPr/>
          </xdr:nvSpPr>
          <xdr:spPr>
            <a:xfrm>
              <a:off x="3031326" y="4831558"/>
              <a:ext cx="2490787" cy="714375"/>
            </a:xfrm>
            <a:prstGeom prst="roundRect">
              <a:avLst>
                <a:gd name="adj" fmla="val 1901"/>
              </a:avLst>
            </a:prstGeom>
            <a:solidFill>
              <a:schemeClr val="bg2">
                <a:lumMod val="75000"/>
              </a:schemeClr>
            </a:solidFill>
            <a:ln>
              <a:noFill/>
            </a:ln>
            <a:effectLst>
              <a:outerShdw blurRad="50800" dist="76200" dir="7440000" algn="t" rotWithShape="0">
                <a:prstClr val="black">
                  <a:alpha val="8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  <xdr:sp macro="" textlink="">
          <xdr:nvSpPr>
            <xdr:cNvPr id="75" name="Rectángulo 74">
              <a:extLst>
                <a:ext uri="{FF2B5EF4-FFF2-40B4-BE49-F238E27FC236}">
                  <a16:creationId xmlns:a16="http://schemas.microsoft.com/office/drawing/2014/main" id="{07E006E9-D106-489E-8208-29C13990E110}"/>
                </a:ext>
              </a:extLst>
            </xdr:cNvPr>
            <xdr:cNvSpPr/>
          </xdr:nvSpPr>
          <xdr:spPr>
            <a:xfrm>
              <a:off x="3071813" y="4857750"/>
              <a:ext cx="1916906" cy="3809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800" b="1"/>
                <a:t>IVR INTERCOM</a:t>
              </a:r>
            </a:p>
          </xdr:txBody>
        </xdr:sp>
        <xdr:sp macro="" textlink="' '!C2">
          <xdr:nvSpPr>
            <xdr:cNvPr id="76" name="Rectángulo 75">
              <a:extLst>
                <a:ext uri="{FF2B5EF4-FFF2-40B4-BE49-F238E27FC236}">
                  <a16:creationId xmlns:a16="http://schemas.microsoft.com/office/drawing/2014/main" id="{D9E2E0A9-E93E-4617-8814-C15962EBE1A6}"/>
                </a:ext>
              </a:extLst>
            </xdr:cNvPr>
            <xdr:cNvSpPr/>
          </xdr:nvSpPr>
          <xdr:spPr>
            <a:xfrm>
              <a:off x="3569494" y="5129212"/>
              <a:ext cx="1916906" cy="3809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fld id="{DFE857F4-A9A3-4B87-8EF6-E12FF839715C}" type="TxLink">
                <a:rPr lang="en-US" sz="24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r"/>
                <a:t> 85,171 </a:t>
              </a:fld>
              <a:endParaRPr lang="es-CO" sz="4000" b="1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38" name="Grupo 37">
            <a:extLst>
              <a:ext uri="{FF2B5EF4-FFF2-40B4-BE49-F238E27FC236}">
                <a16:creationId xmlns:a16="http://schemas.microsoft.com/office/drawing/2014/main" id="{C764272A-9562-46B2-9836-4521C2F46F3C}"/>
              </a:ext>
            </a:extLst>
          </xdr:cNvPr>
          <xdr:cNvGrpSpPr/>
        </xdr:nvGrpSpPr>
        <xdr:grpSpPr>
          <a:xfrm>
            <a:off x="5743572" y="4819652"/>
            <a:ext cx="2490787" cy="714375"/>
            <a:chOff x="5838820" y="4819652"/>
            <a:chExt cx="2490787" cy="714375"/>
          </a:xfrm>
        </xdr:grpSpPr>
        <xdr:sp macro="" textlink="">
          <xdr:nvSpPr>
            <xdr:cNvPr id="71" name="Rectángulo: esquinas redondeadas 70">
              <a:extLst>
                <a:ext uri="{FF2B5EF4-FFF2-40B4-BE49-F238E27FC236}">
                  <a16:creationId xmlns:a16="http://schemas.microsoft.com/office/drawing/2014/main" id="{42D7757A-501F-4D7C-91D3-085AB30F54CD}"/>
                </a:ext>
              </a:extLst>
            </xdr:cNvPr>
            <xdr:cNvSpPr/>
          </xdr:nvSpPr>
          <xdr:spPr>
            <a:xfrm>
              <a:off x="5838820" y="4819652"/>
              <a:ext cx="2490787" cy="714375"/>
            </a:xfrm>
            <a:prstGeom prst="roundRect">
              <a:avLst>
                <a:gd name="adj" fmla="val 1901"/>
              </a:avLst>
            </a:prstGeom>
            <a:solidFill>
              <a:srgbClr val="FFC000"/>
            </a:solidFill>
            <a:ln>
              <a:noFill/>
            </a:ln>
            <a:effectLst>
              <a:outerShdw blurRad="50800" dist="76200" dir="7440000" algn="t" rotWithShape="0">
                <a:prstClr val="black">
                  <a:alpha val="8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  <xdr:sp macro="" textlink="">
          <xdr:nvSpPr>
            <xdr:cNvPr id="72" name="Rectángulo 71">
              <a:extLst>
                <a:ext uri="{FF2B5EF4-FFF2-40B4-BE49-F238E27FC236}">
                  <a16:creationId xmlns:a16="http://schemas.microsoft.com/office/drawing/2014/main" id="{9AB39686-ECD0-4B51-998C-5BAC076336EF}"/>
                </a:ext>
              </a:extLst>
            </xdr:cNvPr>
            <xdr:cNvSpPr/>
          </xdr:nvSpPr>
          <xdr:spPr>
            <a:xfrm>
              <a:off x="5867399" y="4843463"/>
              <a:ext cx="1916906" cy="3809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800" b="1"/>
                <a:t>IVR SAEM</a:t>
              </a:r>
            </a:p>
          </xdr:txBody>
        </xdr:sp>
        <xdr:sp macro="" textlink="' '!C3">
          <xdr:nvSpPr>
            <xdr:cNvPr id="73" name="Rectángulo 72">
              <a:extLst>
                <a:ext uri="{FF2B5EF4-FFF2-40B4-BE49-F238E27FC236}">
                  <a16:creationId xmlns:a16="http://schemas.microsoft.com/office/drawing/2014/main" id="{DE4D085E-A615-40D9-918F-E020DE8F8EDA}"/>
                </a:ext>
              </a:extLst>
            </xdr:cNvPr>
            <xdr:cNvSpPr/>
          </xdr:nvSpPr>
          <xdr:spPr>
            <a:xfrm>
              <a:off x="6376989" y="5126830"/>
              <a:ext cx="1916906" cy="3809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fld id="{73C87615-4C19-4750-8164-1D339DE94BC2}" type="TxLink">
                <a:rPr lang="en-US" sz="24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r"/>
                <a:t> -   </a:t>
              </a:fld>
              <a:endParaRPr lang="es-CO" sz="7200" b="0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39" name="Grupo 38">
            <a:extLst>
              <a:ext uri="{FF2B5EF4-FFF2-40B4-BE49-F238E27FC236}">
                <a16:creationId xmlns:a16="http://schemas.microsoft.com/office/drawing/2014/main" id="{A5D0F5CA-E665-4E41-B5B9-B037F6D00ECF}"/>
              </a:ext>
            </a:extLst>
          </xdr:cNvPr>
          <xdr:cNvGrpSpPr/>
        </xdr:nvGrpSpPr>
        <xdr:grpSpPr>
          <a:xfrm>
            <a:off x="2926553" y="5795962"/>
            <a:ext cx="2490787" cy="716757"/>
            <a:chOff x="3021801" y="5807868"/>
            <a:chExt cx="2490787" cy="716757"/>
          </a:xfrm>
        </xdr:grpSpPr>
        <xdr:sp macro="" textlink="">
          <xdr:nvSpPr>
            <xdr:cNvPr id="68" name="Rectángulo: esquinas redondeadas 67">
              <a:extLst>
                <a:ext uri="{FF2B5EF4-FFF2-40B4-BE49-F238E27FC236}">
                  <a16:creationId xmlns:a16="http://schemas.microsoft.com/office/drawing/2014/main" id="{18379941-E7F8-4637-82EC-630E4DE710F2}"/>
                </a:ext>
              </a:extLst>
            </xdr:cNvPr>
            <xdr:cNvSpPr/>
          </xdr:nvSpPr>
          <xdr:spPr>
            <a:xfrm>
              <a:off x="3021801" y="5810250"/>
              <a:ext cx="2490787" cy="714375"/>
            </a:xfrm>
            <a:prstGeom prst="roundRect">
              <a:avLst>
                <a:gd name="adj" fmla="val 1901"/>
              </a:avLst>
            </a:prstGeom>
            <a:solidFill>
              <a:srgbClr val="33CCCC"/>
            </a:solidFill>
            <a:ln>
              <a:noFill/>
            </a:ln>
            <a:effectLst>
              <a:outerShdw blurRad="50800" dist="76200" dir="7440000" algn="t" rotWithShape="0">
                <a:prstClr val="black">
                  <a:alpha val="8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  <xdr:sp macro="" textlink="">
          <xdr:nvSpPr>
            <xdr:cNvPr id="69" name="Rectángulo 68">
              <a:extLst>
                <a:ext uri="{FF2B5EF4-FFF2-40B4-BE49-F238E27FC236}">
                  <a16:creationId xmlns:a16="http://schemas.microsoft.com/office/drawing/2014/main" id="{0BA309E5-69DF-4220-9714-428116BF47D8}"/>
                </a:ext>
              </a:extLst>
            </xdr:cNvPr>
            <xdr:cNvSpPr/>
          </xdr:nvSpPr>
          <xdr:spPr>
            <a:xfrm>
              <a:off x="3045618" y="5807868"/>
              <a:ext cx="2216943" cy="3809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600" b="1"/>
                <a:t>IVR TRANSACCIONAL</a:t>
              </a:r>
            </a:p>
          </xdr:txBody>
        </xdr:sp>
        <xdr:sp macro="" textlink="' '!C4">
          <xdr:nvSpPr>
            <xdr:cNvPr id="70" name="Rectángulo 69">
              <a:extLst>
                <a:ext uri="{FF2B5EF4-FFF2-40B4-BE49-F238E27FC236}">
                  <a16:creationId xmlns:a16="http://schemas.microsoft.com/office/drawing/2014/main" id="{DACBA5DF-4326-4006-956D-140869AD49D3}"/>
                </a:ext>
              </a:extLst>
            </xdr:cNvPr>
            <xdr:cNvSpPr/>
          </xdr:nvSpPr>
          <xdr:spPr>
            <a:xfrm>
              <a:off x="3564729" y="6124573"/>
              <a:ext cx="1916906" cy="3809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fld id="{52C33ACB-67A5-4315-8481-099CC37B4E02}" type="TxLink">
                <a:rPr lang="en-US" sz="24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r"/>
                <a:t> 64,540 </a:t>
              </a:fld>
              <a:endParaRPr lang="es-CO" sz="16600" b="0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40" name="Grupo 39">
            <a:extLst>
              <a:ext uri="{FF2B5EF4-FFF2-40B4-BE49-F238E27FC236}">
                <a16:creationId xmlns:a16="http://schemas.microsoft.com/office/drawing/2014/main" id="{C19E5B76-B0AA-409D-B1B7-19F577E395D2}"/>
              </a:ext>
            </a:extLst>
          </xdr:cNvPr>
          <xdr:cNvGrpSpPr/>
        </xdr:nvGrpSpPr>
        <xdr:grpSpPr>
          <a:xfrm>
            <a:off x="5734047" y="5798344"/>
            <a:ext cx="2490787" cy="714375"/>
            <a:chOff x="5829295" y="5798344"/>
            <a:chExt cx="2490787" cy="714375"/>
          </a:xfrm>
        </xdr:grpSpPr>
        <xdr:sp macro="" textlink="">
          <xdr:nvSpPr>
            <xdr:cNvPr id="65" name="Rectángulo: esquinas redondeadas 64">
              <a:extLst>
                <a:ext uri="{FF2B5EF4-FFF2-40B4-BE49-F238E27FC236}">
                  <a16:creationId xmlns:a16="http://schemas.microsoft.com/office/drawing/2014/main" id="{FF2FE3BE-7678-4964-B26C-3455D0291942}"/>
                </a:ext>
              </a:extLst>
            </xdr:cNvPr>
            <xdr:cNvSpPr/>
          </xdr:nvSpPr>
          <xdr:spPr>
            <a:xfrm>
              <a:off x="5829295" y="5798344"/>
              <a:ext cx="2490787" cy="714375"/>
            </a:xfrm>
            <a:prstGeom prst="roundRect">
              <a:avLst>
                <a:gd name="adj" fmla="val 1901"/>
              </a:avLst>
            </a:prstGeom>
            <a:solidFill>
              <a:srgbClr val="3399FF"/>
            </a:solidFill>
            <a:ln>
              <a:noFill/>
            </a:ln>
            <a:effectLst>
              <a:outerShdw blurRad="50800" dist="76200" dir="7440000" algn="t" rotWithShape="0">
                <a:prstClr val="black">
                  <a:alpha val="8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  <xdr:sp macro="" textlink="">
          <xdr:nvSpPr>
            <xdr:cNvPr id="66" name="Rectángulo 65">
              <a:extLst>
                <a:ext uri="{FF2B5EF4-FFF2-40B4-BE49-F238E27FC236}">
                  <a16:creationId xmlns:a16="http://schemas.microsoft.com/office/drawing/2014/main" id="{E938D01C-ACD1-400D-94B5-4AE0D9471487}"/>
                </a:ext>
              </a:extLst>
            </xdr:cNvPr>
            <xdr:cNvSpPr/>
          </xdr:nvSpPr>
          <xdr:spPr>
            <a:xfrm>
              <a:off x="5865017" y="5829301"/>
              <a:ext cx="1916906" cy="3809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800" b="1"/>
                <a:t>WISEBOT</a:t>
              </a:r>
            </a:p>
          </xdr:txBody>
        </xdr:sp>
        <xdr:sp macro="" textlink="' '!C8">
          <xdr:nvSpPr>
            <xdr:cNvPr id="67" name="Rectángulo 66">
              <a:extLst>
                <a:ext uri="{FF2B5EF4-FFF2-40B4-BE49-F238E27FC236}">
                  <a16:creationId xmlns:a16="http://schemas.microsoft.com/office/drawing/2014/main" id="{3BDA71FF-78B4-42FA-A4E0-8CBECD4B4D22}"/>
                </a:ext>
              </a:extLst>
            </xdr:cNvPr>
            <xdr:cNvSpPr/>
          </xdr:nvSpPr>
          <xdr:spPr>
            <a:xfrm>
              <a:off x="6357933" y="6095998"/>
              <a:ext cx="1916906" cy="3809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fld id="{CD20B1D0-0980-4103-9124-96BAC566E0D9}" type="TxLink">
                <a:rPr lang="en-US" sz="24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r"/>
                <a:t> -   </a:t>
              </a:fld>
              <a:endParaRPr lang="es-CO" sz="16600" b="0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41" name="Grupo 40">
            <a:extLst>
              <a:ext uri="{FF2B5EF4-FFF2-40B4-BE49-F238E27FC236}">
                <a16:creationId xmlns:a16="http://schemas.microsoft.com/office/drawing/2014/main" id="{F964F72C-AAD7-487B-9D56-4C889333D40D}"/>
              </a:ext>
            </a:extLst>
          </xdr:cNvPr>
          <xdr:cNvGrpSpPr/>
        </xdr:nvGrpSpPr>
        <xdr:grpSpPr>
          <a:xfrm>
            <a:off x="8551066" y="4819652"/>
            <a:ext cx="2490787" cy="714375"/>
            <a:chOff x="8646314" y="4819652"/>
            <a:chExt cx="2490787" cy="714375"/>
          </a:xfrm>
        </xdr:grpSpPr>
        <xdr:sp macro="" textlink="">
          <xdr:nvSpPr>
            <xdr:cNvPr id="62" name="Rectángulo: esquinas redondeadas 61">
              <a:extLst>
                <a:ext uri="{FF2B5EF4-FFF2-40B4-BE49-F238E27FC236}">
                  <a16:creationId xmlns:a16="http://schemas.microsoft.com/office/drawing/2014/main" id="{2F41B759-0C4A-4343-94AA-7898EDBE0C5F}"/>
                </a:ext>
              </a:extLst>
            </xdr:cNvPr>
            <xdr:cNvSpPr/>
          </xdr:nvSpPr>
          <xdr:spPr>
            <a:xfrm>
              <a:off x="8646314" y="4819652"/>
              <a:ext cx="2490787" cy="714375"/>
            </a:xfrm>
            <a:prstGeom prst="roundRect">
              <a:avLst>
                <a:gd name="adj" fmla="val 1901"/>
              </a:avLst>
            </a:prstGeom>
            <a:solidFill>
              <a:srgbClr val="FF5050"/>
            </a:solidFill>
            <a:ln>
              <a:noFill/>
            </a:ln>
            <a:effectLst>
              <a:outerShdw blurRad="50800" dist="76200" dir="7440000" algn="t" rotWithShape="0">
                <a:prstClr val="black">
                  <a:alpha val="8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  <xdr:sp macro="" textlink="">
          <xdr:nvSpPr>
            <xdr:cNvPr id="63" name="Rectángulo 62">
              <a:extLst>
                <a:ext uri="{FF2B5EF4-FFF2-40B4-BE49-F238E27FC236}">
                  <a16:creationId xmlns:a16="http://schemas.microsoft.com/office/drawing/2014/main" id="{17D382AF-1458-4F42-A4EC-8D821AC7C82A}"/>
                </a:ext>
              </a:extLst>
            </xdr:cNvPr>
            <xdr:cNvSpPr/>
          </xdr:nvSpPr>
          <xdr:spPr>
            <a:xfrm>
              <a:off x="8684418" y="4850607"/>
              <a:ext cx="1916906" cy="3809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800" b="1"/>
                <a:t>SERVICEBOTS</a:t>
              </a:r>
            </a:p>
          </xdr:txBody>
        </xdr:sp>
        <xdr:sp macro="" textlink="' '!C5">
          <xdr:nvSpPr>
            <xdr:cNvPr id="64" name="Rectángulo 63">
              <a:extLst>
                <a:ext uri="{FF2B5EF4-FFF2-40B4-BE49-F238E27FC236}">
                  <a16:creationId xmlns:a16="http://schemas.microsoft.com/office/drawing/2014/main" id="{9F868FBF-1DB4-4A3E-8FD0-AE511FD272B8}"/>
                </a:ext>
              </a:extLst>
            </xdr:cNvPr>
            <xdr:cNvSpPr/>
          </xdr:nvSpPr>
          <xdr:spPr>
            <a:xfrm>
              <a:off x="9177333" y="5129211"/>
              <a:ext cx="1916906" cy="3809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fld id="{AD91A681-1449-46C4-901C-5E86E42E2D18}" type="TxLink">
                <a:rPr lang="en-US" sz="24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r"/>
                <a:t> 4,810 </a:t>
              </a:fld>
              <a:endParaRPr lang="es-CO" sz="49600" b="0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C2C79A18-4AB5-44E0-906E-AF952BBCFB06}"/>
              </a:ext>
            </a:extLst>
          </xdr:cNvPr>
          <xdr:cNvGrpSpPr/>
        </xdr:nvGrpSpPr>
        <xdr:grpSpPr>
          <a:xfrm>
            <a:off x="11358560" y="4819652"/>
            <a:ext cx="2490787" cy="714375"/>
            <a:chOff x="11453808" y="4819652"/>
            <a:chExt cx="2490787" cy="714375"/>
          </a:xfrm>
        </xdr:grpSpPr>
        <xdr:sp macro="" textlink="">
          <xdr:nvSpPr>
            <xdr:cNvPr id="59" name="Rectángulo: esquinas redondeadas 58">
              <a:extLst>
                <a:ext uri="{FF2B5EF4-FFF2-40B4-BE49-F238E27FC236}">
                  <a16:creationId xmlns:a16="http://schemas.microsoft.com/office/drawing/2014/main" id="{201DAD0A-7802-458F-AE09-7913DA02BA39}"/>
                </a:ext>
              </a:extLst>
            </xdr:cNvPr>
            <xdr:cNvSpPr/>
          </xdr:nvSpPr>
          <xdr:spPr>
            <a:xfrm>
              <a:off x="11453808" y="4819652"/>
              <a:ext cx="2490787" cy="714375"/>
            </a:xfrm>
            <a:prstGeom prst="roundRect">
              <a:avLst>
                <a:gd name="adj" fmla="val 1901"/>
              </a:avLst>
            </a:prstGeom>
            <a:solidFill>
              <a:srgbClr val="666699"/>
            </a:solidFill>
            <a:ln>
              <a:noFill/>
            </a:ln>
            <a:effectLst>
              <a:outerShdw blurRad="50800" dist="76200" dir="7440000" algn="t" rotWithShape="0">
                <a:prstClr val="black">
                  <a:alpha val="8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  <xdr:sp macro="" textlink="">
          <xdr:nvSpPr>
            <xdr:cNvPr id="60" name="Rectángulo 59">
              <a:extLst>
                <a:ext uri="{FF2B5EF4-FFF2-40B4-BE49-F238E27FC236}">
                  <a16:creationId xmlns:a16="http://schemas.microsoft.com/office/drawing/2014/main" id="{7CBE83EE-5B57-4885-AC95-43EC11060C5E}"/>
                </a:ext>
              </a:extLst>
            </xdr:cNvPr>
            <xdr:cNvSpPr/>
          </xdr:nvSpPr>
          <xdr:spPr>
            <a:xfrm>
              <a:off x="11501436" y="4845845"/>
              <a:ext cx="1916906" cy="3809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800" b="1"/>
                <a:t>SMS MASIVIAN</a:t>
              </a:r>
            </a:p>
          </xdr:txBody>
        </xdr:sp>
        <xdr:sp macro="" textlink="' '!C6">
          <xdr:nvSpPr>
            <xdr:cNvPr id="61" name="Rectángulo 60">
              <a:extLst>
                <a:ext uri="{FF2B5EF4-FFF2-40B4-BE49-F238E27FC236}">
                  <a16:creationId xmlns:a16="http://schemas.microsoft.com/office/drawing/2014/main" id="{166112D7-C1AA-47B9-BC50-7760A7CF2212}"/>
                </a:ext>
              </a:extLst>
            </xdr:cNvPr>
            <xdr:cNvSpPr/>
          </xdr:nvSpPr>
          <xdr:spPr>
            <a:xfrm>
              <a:off x="11989594" y="5119686"/>
              <a:ext cx="1916906" cy="3809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fld id="{105450D7-A669-46D6-99A3-B9FD319FC6DF}" type="TxLink">
                <a:rPr lang="en-US" sz="24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r"/>
                <a:t> -   </a:t>
              </a:fld>
              <a:endParaRPr lang="es-CO" sz="49600" b="0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43" name="Grupo 42">
            <a:extLst>
              <a:ext uri="{FF2B5EF4-FFF2-40B4-BE49-F238E27FC236}">
                <a16:creationId xmlns:a16="http://schemas.microsoft.com/office/drawing/2014/main" id="{3D3D5F81-B1D5-4E01-8A0F-CBA9136841C2}"/>
              </a:ext>
            </a:extLst>
          </xdr:cNvPr>
          <xdr:cNvGrpSpPr/>
        </xdr:nvGrpSpPr>
        <xdr:grpSpPr>
          <a:xfrm>
            <a:off x="8541541" y="5798344"/>
            <a:ext cx="2490787" cy="714375"/>
            <a:chOff x="8636789" y="5798344"/>
            <a:chExt cx="2490787" cy="714375"/>
          </a:xfrm>
        </xdr:grpSpPr>
        <xdr:sp macro="" textlink="">
          <xdr:nvSpPr>
            <xdr:cNvPr id="56" name="Rectángulo: esquinas redondeadas 55">
              <a:extLst>
                <a:ext uri="{FF2B5EF4-FFF2-40B4-BE49-F238E27FC236}">
                  <a16:creationId xmlns:a16="http://schemas.microsoft.com/office/drawing/2014/main" id="{EA3C60DA-5A1C-4A61-9C42-035F7E730921}"/>
                </a:ext>
              </a:extLst>
            </xdr:cNvPr>
            <xdr:cNvSpPr/>
          </xdr:nvSpPr>
          <xdr:spPr>
            <a:xfrm>
              <a:off x="8636789" y="5798344"/>
              <a:ext cx="2490787" cy="714375"/>
            </a:xfrm>
            <a:prstGeom prst="roundRect">
              <a:avLst>
                <a:gd name="adj" fmla="val 1901"/>
              </a:avLst>
            </a:prstGeom>
            <a:solidFill>
              <a:srgbClr val="D99694"/>
            </a:solidFill>
            <a:ln>
              <a:noFill/>
            </a:ln>
            <a:effectLst>
              <a:outerShdw blurRad="50800" dist="76200" dir="7440000" algn="t" rotWithShape="0">
                <a:prstClr val="black">
                  <a:alpha val="8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  <xdr:sp macro="" textlink="">
          <xdr:nvSpPr>
            <xdr:cNvPr id="57" name="Rectángulo 56">
              <a:extLst>
                <a:ext uri="{FF2B5EF4-FFF2-40B4-BE49-F238E27FC236}">
                  <a16:creationId xmlns:a16="http://schemas.microsoft.com/office/drawing/2014/main" id="{9BAE8097-E011-4AE2-BB17-8D7568B41B3C}"/>
                </a:ext>
              </a:extLst>
            </xdr:cNvPr>
            <xdr:cNvSpPr/>
          </xdr:nvSpPr>
          <xdr:spPr>
            <a:xfrm>
              <a:off x="8682038" y="5824538"/>
              <a:ext cx="1916906" cy="3809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800" b="1"/>
                <a:t>SMS SAEM</a:t>
              </a:r>
            </a:p>
          </xdr:txBody>
        </xdr:sp>
        <xdr:sp macro="" textlink="' '!C7">
          <xdr:nvSpPr>
            <xdr:cNvPr id="58" name="Rectángulo 57">
              <a:extLst>
                <a:ext uri="{FF2B5EF4-FFF2-40B4-BE49-F238E27FC236}">
                  <a16:creationId xmlns:a16="http://schemas.microsoft.com/office/drawing/2014/main" id="{658348FF-CDFD-4127-9583-0FA874702682}"/>
                </a:ext>
              </a:extLst>
            </xdr:cNvPr>
            <xdr:cNvSpPr/>
          </xdr:nvSpPr>
          <xdr:spPr>
            <a:xfrm>
              <a:off x="9179719" y="6096001"/>
              <a:ext cx="1916906" cy="3809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fld id="{3EFB5880-B3F4-4B0C-8931-21F3CDA65A82}" type="TxLink">
                <a:rPr lang="en-US" sz="24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r"/>
                <a:t> 217,383 </a:t>
              </a:fld>
              <a:endParaRPr lang="es-CO" sz="49600" b="0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44" name="Grupo 43">
            <a:extLst>
              <a:ext uri="{FF2B5EF4-FFF2-40B4-BE49-F238E27FC236}">
                <a16:creationId xmlns:a16="http://schemas.microsoft.com/office/drawing/2014/main" id="{291027B2-D769-4E64-AE27-72D39328C248}"/>
              </a:ext>
            </a:extLst>
          </xdr:cNvPr>
          <xdr:cNvGrpSpPr/>
        </xdr:nvGrpSpPr>
        <xdr:grpSpPr>
          <a:xfrm>
            <a:off x="11349035" y="5798344"/>
            <a:ext cx="2490787" cy="714375"/>
            <a:chOff x="11444283" y="5798344"/>
            <a:chExt cx="2490787" cy="714375"/>
          </a:xfrm>
        </xdr:grpSpPr>
        <xdr:sp macro="" textlink="">
          <xdr:nvSpPr>
            <xdr:cNvPr id="53" name="Rectángulo: esquinas redondeadas 52">
              <a:extLst>
                <a:ext uri="{FF2B5EF4-FFF2-40B4-BE49-F238E27FC236}">
                  <a16:creationId xmlns:a16="http://schemas.microsoft.com/office/drawing/2014/main" id="{6F1B5D90-D69F-44B7-98C1-E0F3F64F3610}"/>
                </a:ext>
              </a:extLst>
            </xdr:cNvPr>
            <xdr:cNvSpPr/>
          </xdr:nvSpPr>
          <xdr:spPr>
            <a:xfrm>
              <a:off x="11444283" y="5798344"/>
              <a:ext cx="2490787" cy="714375"/>
            </a:xfrm>
            <a:prstGeom prst="roundRect">
              <a:avLst>
                <a:gd name="adj" fmla="val 1901"/>
              </a:avLst>
            </a:prstGeom>
            <a:solidFill>
              <a:srgbClr val="00CC66"/>
            </a:solidFill>
            <a:ln>
              <a:noFill/>
            </a:ln>
            <a:effectLst>
              <a:outerShdw blurRad="50800" dist="76200" dir="7440000" algn="t" rotWithShape="0">
                <a:prstClr val="black">
                  <a:alpha val="8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  <xdr:sp macro="" textlink="">
          <xdr:nvSpPr>
            <xdr:cNvPr id="54" name="Rectángulo 53">
              <a:extLst>
                <a:ext uri="{FF2B5EF4-FFF2-40B4-BE49-F238E27FC236}">
                  <a16:creationId xmlns:a16="http://schemas.microsoft.com/office/drawing/2014/main" id="{E9001913-BCF6-4CEF-B68C-EB5220F5C9DA}"/>
                </a:ext>
              </a:extLst>
            </xdr:cNvPr>
            <xdr:cNvSpPr/>
          </xdr:nvSpPr>
          <xdr:spPr>
            <a:xfrm>
              <a:off x="11499054" y="5819777"/>
              <a:ext cx="2324102" cy="3809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800" b="1"/>
                <a:t>CORREOS</a:t>
              </a:r>
            </a:p>
          </xdr:txBody>
        </xdr:sp>
        <xdr:sp macro="" textlink="' '!C1">
          <xdr:nvSpPr>
            <xdr:cNvPr id="55" name="Rectángulo 54">
              <a:extLst>
                <a:ext uri="{FF2B5EF4-FFF2-40B4-BE49-F238E27FC236}">
                  <a16:creationId xmlns:a16="http://schemas.microsoft.com/office/drawing/2014/main" id="{3FCED92B-0E68-41D8-B157-77FC17B770F2}"/>
                </a:ext>
              </a:extLst>
            </xdr:cNvPr>
            <xdr:cNvSpPr/>
          </xdr:nvSpPr>
          <xdr:spPr>
            <a:xfrm>
              <a:off x="11977683" y="6095999"/>
              <a:ext cx="1916906" cy="3809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fld id="{48443C4C-DF8E-42C9-A635-6BBE9E0A0DDC}" type="TxLink">
                <a:rPr lang="en-US" sz="24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r"/>
                <a:t> -   </a:t>
              </a:fld>
              <a:endParaRPr lang="es-CO" sz="148100" b="0">
                <a:solidFill>
                  <a:schemeClr val="bg1"/>
                </a:solidFill>
              </a:endParaRPr>
            </a:p>
          </xdr:txBody>
        </xdr:sp>
      </xdr:grpSp>
      <xdr:pic>
        <xdr:nvPicPr>
          <xdr:cNvPr id="45" name="Gráfico 44" descr="Centro de llamadas con relleno sólido">
            <a:extLst>
              <a:ext uri="{FF2B5EF4-FFF2-40B4-BE49-F238E27FC236}">
                <a16:creationId xmlns:a16="http://schemas.microsoft.com/office/drawing/2014/main" id="{4B975C77-C30F-4D49-B4BD-4FAB6575E6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64659" y="6155530"/>
            <a:ext cx="285751" cy="285751"/>
          </a:xfrm>
          <a:prstGeom prst="rect">
            <a:avLst/>
          </a:prstGeom>
        </xdr:spPr>
      </xdr:pic>
      <xdr:pic>
        <xdr:nvPicPr>
          <xdr:cNvPr id="46" name="Gráfico 45" descr="Reseña de cliente con relleno sólido">
            <a:extLst>
              <a:ext uri="{FF2B5EF4-FFF2-40B4-BE49-F238E27FC236}">
                <a16:creationId xmlns:a16="http://schemas.microsoft.com/office/drawing/2014/main" id="{46ED0D67-016F-46FF-835A-474A58F7A5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632033" y="6165055"/>
            <a:ext cx="333375" cy="333375"/>
          </a:xfrm>
          <a:prstGeom prst="rect">
            <a:avLst/>
          </a:prstGeom>
        </xdr:spPr>
      </xdr:pic>
      <xdr:pic>
        <xdr:nvPicPr>
          <xdr:cNvPr id="47" name="Gráfico 46" descr="Correo electrónico con relleno sólido">
            <a:extLst>
              <a:ext uri="{FF2B5EF4-FFF2-40B4-BE49-F238E27FC236}">
                <a16:creationId xmlns:a16="http://schemas.microsoft.com/office/drawing/2014/main" id="{DE2A7C70-72A4-41F4-A8AC-1FDD049A23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479970" y="6169745"/>
            <a:ext cx="271500" cy="271500"/>
          </a:xfrm>
          <a:prstGeom prst="rect">
            <a:avLst/>
          </a:prstGeom>
        </xdr:spPr>
      </xdr:pic>
      <xdr:pic>
        <xdr:nvPicPr>
          <xdr:cNvPr id="48" name="Gráfico 47" descr="Sobre con relleno sólido">
            <a:extLst>
              <a:ext uri="{FF2B5EF4-FFF2-40B4-BE49-F238E27FC236}">
                <a16:creationId xmlns:a16="http://schemas.microsoft.com/office/drawing/2014/main" id="{7B98D18B-3F5E-4198-8A05-9F68ACE246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1463283" y="5195776"/>
            <a:ext cx="300094" cy="300094"/>
          </a:xfrm>
          <a:prstGeom prst="rect">
            <a:avLst/>
          </a:prstGeom>
        </xdr:spPr>
      </xdr:pic>
      <xdr:pic>
        <xdr:nvPicPr>
          <xdr:cNvPr id="49" name="Gráfico 48" descr="Internet con relleno sólido">
            <a:extLst>
              <a:ext uri="{FF2B5EF4-FFF2-40B4-BE49-F238E27FC236}">
                <a16:creationId xmlns:a16="http://schemas.microsoft.com/office/drawing/2014/main" id="{254E331D-FFFD-4A87-98B6-D66136D21E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648627" y="5191124"/>
            <a:ext cx="323775" cy="323775"/>
          </a:xfrm>
          <a:prstGeom prst="rect">
            <a:avLst/>
          </a:prstGeom>
        </xdr:spPr>
      </xdr:pic>
      <xdr:pic>
        <xdr:nvPicPr>
          <xdr:cNvPr id="50" name="Gráfico 49" descr="Marketing con relleno sólido">
            <a:extLst>
              <a:ext uri="{FF2B5EF4-FFF2-40B4-BE49-F238E27FC236}">
                <a16:creationId xmlns:a16="http://schemas.microsoft.com/office/drawing/2014/main" id="{E61EE9EC-2EB9-401D-AF0D-20639E04E1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822065" y="5200462"/>
            <a:ext cx="297749" cy="297749"/>
          </a:xfrm>
          <a:prstGeom prst="rect">
            <a:avLst/>
          </a:prstGeom>
        </xdr:spPr>
      </xdr:pic>
      <xdr:pic>
        <xdr:nvPicPr>
          <xdr:cNvPr id="51" name="Gráfico 50" descr="Robot con relleno sólido">
            <a:extLst>
              <a:ext uri="{FF2B5EF4-FFF2-40B4-BE49-F238E27FC236}">
                <a16:creationId xmlns:a16="http://schemas.microsoft.com/office/drawing/2014/main" id="{838A83BE-526B-4D18-A9F1-D1B8A3A4B8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5786440" y="6167437"/>
            <a:ext cx="285749" cy="285749"/>
          </a:xfrm>
          <a:prstGeom prst="rect">
            <a:avLst/>
          </a:prstGeom>
        </xdr:spPr>
      </xdr:pic>
      <xdr:pic>
        <xdr:nvPicPr>
          <xdr:cNvPr id="52" name="Gráfico 51" descr="Altavoz de teléfono con relleno sólido">
            <a:extLst>
              <a:ext uri="{FF2B5EF4-FFF2-40B4-BE49-F238E27FC236}">
                <a16:creationId xmlns:a16="http://schemas.microsoft.com/office/drawing/2014/main" id="{7354C4AA-A8A2-46A7-878B-0AEB36677B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3007502" y="5162532"/>
            <a:ext cx="338156" cy="338156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1916205</xdr:colOff>
      <xdr:row>1</xdr:row>
      <xdr:rowOff>134473</xdr:rowOff>
    </xdr:from>
    <xdr:to>
      <xdr:col>18</xdr:col>
      <xdr:colOff>722079</xdr:colOff>
      <xdr:row>4</xdr:row>
      <xdr:rowOff>112061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15F1B6B0-FA33-4EDF-8BBF-81DF8D7FB43A}"/>
            </a:ext>
          </a:extLst>
        </xdr:cNvPr>
        <xdr:cNvGrpSpPr/>
      </xdr:nvGrpSpPr>
      <xdr:grpSpPr>
        <a:xfrm>
          <a:off x="13749617" y="324973"/>
          <a:ext cx="2167638" cy="549088"/>
          <a:chOff x="1391331" y="1265309"/>
          <a:chExt cx="6252484" cy="1592579"/>
        </a:xfrm>
      </xdr:grpSpPr>
      <xdr:sp macro="" textlink="">
        <xdr:nvSpPr>
          <xdr:cNvPr id="79" name="Freeform 21">
            <a:extLst>
              <a:ext uri="{FF2B5EF4-FFF2-40B4-BE49-F238E27FC236}">
                <a16:creationId xmlns:a16="http://schemas.microsoft.com/office/drawing/2014/main" id="{27963B05-576B-4BE1-95D1-37180565AC8A}"/>
              </a:ext>
            </a:extLst>
          </xdr:cNvPr>
          <xdr:cNvSpPr/>
        </xdr:nvSpPr>
        <xdr:spPr>
          <a:xfrm>
            <a:off x="1391331" y="1265309"/>
            <a:ext cx="1684327" cy="1592579"/>
          </a:xfrm>
          <a:custGeom>
            <a:avLst/>
            <a:gdLst/>
            <a:ahLst/>
            <a:cxnLst/>
            <a:rect l="l" t="t" r="r" b="b"/>
            <a:pathLst>
              <a:path w="1684327" h="1592579">
                <a:moveTo>
                  <a:pt x="0" y="0"/>
                </a:moveTo>
                <a:lnTo>
                  <a:pt x="1684328" y="0"/>
                </a:lnTo>
                <a:lnTo>
                  <a:pt x="1684328" y="1592579"/>
                </a:lnTo>
                <a:lnTo>
                  <a:pt x="0" y="1592579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7"/>
            <a:stretch>
              <a:fillRect l="-25074" r="-27423" b="-42755"/>
            </a:stretch>
          </a:blipFill>
        </xdr:spPr>
        <xdr:txBody>
          <a:bodyPr wrap="square"/>
          <a:lstStyle/>
          <a:p>
            <a:endParaRPr lang="es-CO"/>
          </a:p>
        </xdr:txBody>
      </xdr:sp>
      <xdr:sp macro="" textlink="">
        <xdr:nvSpPr>
          <xdr:cNvPr id="80" name="Freeform 22">
            <a:extLst>
              <a:ext uri="{FF2B5EF4-FFF2-40B4-BE49-F238E27FC236}">
                <a16:creationId xmlns:a16="http://schemas.microsoft.com/office/drawing/2014/main" id="{AC66A8CE-9AE3-4307-BE5D-C3AC2CCC856F}"/>
              </a:ext>
            </a:extLst>
          </xdr:cNvPr>
          <xdr:cNvSpPr/>
        </xdr:nvSpPr>
        <xdr:spPr>
          <a:xfrm>
            <a:off x="3154232" y="1713908"/>
            <a:ext cx="4489583" cy="1143980"/>
          </a:xfrm>
          <a:custGeom>
            <a:avLst/>
            <a:gdLst/>
            <a:ahLst/>
            <a:cxnLst/>
            <a:rect l="l" t="t" r="r" b="b"/>
            <a:pathLst>
              <a:path w="4489583" h="1143980">
                <a:moveTo>
                  <a:pt x="0" y="0"/>
                </a:moveTo>
                <a:lnTo>
                  <a:pt x="4489582" y="0"/>
                </a:lnTo>
                <a:lnTo>
                  <a:pt x="4489582" y="1143980"/>
                </a:lnTo>
                <a:lnTo>
                  <a:pt x="0" y="1143980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7"/>
            <a:stretch>
              <a:fillRect l="-9976" t="-295662" r="-10995" b="-24556"/>
            </a:stretch>
          </a:blipFill>
        </xdr:spPr>
        <xdr:txBody>
          <a:bodyPr wrap="square"/>
          <a:lstStyle/>
          <a:p>
            <a:endParaRPr lang="es-CO"/>
          </a:p>
        </xdr:txBody>
      </xdr:sp>
    </xdr:grpSp>
    <xdr:clientData/>
  </xdr:twoCellAnchor>
  <xdr:twoCellAnchor editAs="oneCell">
    <xdr:from>
      <xdr:col>9</xdr:col>
      <xdr:colOff>504265</xdr:colOff>
      <xdr:row>0</xdr:row>
      <xdr:rowOff>22412</xdr:rowOff>
    </xdr:from>
    <xdr:to>
      <xdr:col>14</xdr:col>
      <xdr:colOff>731884</xdr:colOff>
      <xdr:row>5</xdr:row>
      <xdr:rowOff>153380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84" name="FECHA">
              <a:extLst>
                <a:ext uri="{FF2B5EF4-FFF2-40B4-BE49-F238E27FC236}">
                  <a16:creationId xmlns:a16="http://schemas.microsoft.com/office/drawing/2014/main" id="{11BC337C-70CA-41FD-AF5A-69ACFE9739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62265" y="22412"/>
              <a:ext cx="4037619" cy="10834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0</xdr:col>
      <xdr:colOff>273844</xdr:colOff>
      <xdr:row>11</xdr:row>
      <xdr:rowOff>11905</xdr:rowOff>
    </xdr:from>
    <xdr:to>
      <xdr:col>15</xdr:col>
      <xdr:colOff>168088</xdr:colOff>
      <xdr:row>32</xdr:row>
      <xdr:rowOff>100853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F787C079-AA3F-4C60-B577-EF252840D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14</xdr:col>
      <xdr:colOff>212912</xdr:colOff>
      <xdr:row>0</xdr:row>
      <xdr:rowOff>22413</xdr:rowOff>
    </xdr:from>
    <xdr:to>
      <xdr:col>14</xdr:col>
      <xdr:colOff>748692</xdr:colOff>
      <xdr:row>2</xdr:row>
      <xdr:rowOff>33619</xdr:rowOff>
    </xdr:to>
    <xdr:sp macro="" textlink="">
      <xdr:nvSpPr>
        <xdr:cNvPr id="87" name="Rectángulo 86">
          <a:extLst>
            <a:ext uri="{FF2B5EF4-FFF2-40B4-BE49-F238E27FC236}">
              <a16:creationId xmlns:a16="http://schemas.microsoft.com/office/drawing/2014/main" id="{CECA9E66-EDC1-4E26-88E6-7E135FE6CFA7}"/>
            </a:ext>
          </a:extLst>
        </xdr:cNvPr>
        <xdr:cNvSpPr/>
      </xdr:nvSpPr>
      <xdr:spPr>
        <a:xfrm>
          <a:off x="10880912" y="22413"/>
          <a:ext cx="535780" cy="39220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i="0" u="none" strike="noStrike">
              <a:solidFill>
                <a:schemeClr val="bg2">
                  <a:lumMod val="50000"/>
                </a:schemeClr>
              </a:solidFill>
              <a:latin typeface="Calibri"/>
              <a:cs typeface="Calibri"/>
            </a:rPr>
            <a:t>📅</a:t>
          </a:r>
          <a:endParaRPr lang="en-US" sz="1600" i="0" u="none" strike="noStrike">
            <a:solidFill>
              <a:schemeClr val="bg2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225519</xdr:colOff>
      <xdr:row>0</xdr:row>
      <xdr:rowOff>112059</xdr:rowOff>
    </xdr:from>
    <xdr:to>
      <xdr:col>6</xdr:col>
      <xdr:colOff>717176</xdr:colOff>
      <xdr:row>3</xdr:row>
      <xdr:rowOff>49466</xdr:rowOff>
    </xdr:to>
    <xdr:sp macro="" textlink="">
      <xdr:nvSpPr>
        <xdr:cNvPr id="88" name="Rectángulo 87">
          <a:extLst>
            <a:ext uri="{FF2B5EF4-FFF2-40B4-BE49-F238E27FC236}">
              <a16:creationId xmlns:a16="http://schemas.microsoft.com/office/drawing/2014/main" id="{015009DE-E5E6-4B17-BABF-416FDE7A3D20}"/>
            </a:ext>
          </a:extLst>
        </xdr:cNvPr>
        <xdr:cNvSpPr/>
      </xdr:nvSpPr>
      <xdr:spPr>
        <a:xfrm>
          <a:off x="225519" y="112059"/>
          <a:ext cx="5063657" cy="50890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2000" b="1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rPr>
            <a:t>Monitoreo de Carga de Registros</a:t>
          </a:r>
        </a:p>
      </xdr:txBody>
    </xdr:sp>
    <xdr:clientData/>
  </xdr:twoCellAnchor>
  <xdr:twoCellAnchor>
    <xdr:from>
      <xdr:col>0</xdr:col>
      <xdr:colOff>235324</xdr:colOff>
      <xdr:row>2</xdr:row>
      <xdr:rowOff>154081</xdr:rowOff>
    </xdr:from>
    <xdr:to>
      <xdr:col>6</xdr:col>
      <xdr:colOff>683559</xdr:colOff>
      <xdr:row>4</xdr:row>
      <xdr:rowOff>154079</xdr:rowOff>
    </xdr:to>
    <xdr:sp macro="" textlink="">
      <xdr:nvSpPr>
        <xdr:cNvPr id="89" name="Rectángulo 88">
          <a:extLst>
            <a:ext uri="{FF2B5EF4-FFF2-40B4-BE49-F238E27FC236}">
              <a16:creationId xmlns:a16="http://schemas.microsoft.com/office/drawing/2014/main" id="{40B407FD-567E-4434-969F-48CA1A003187}"/>
            </a:ext>
          </a:extLst>
        </xdr:cNvPr>
        <xdr:cNvSpPr/>
      </xdr:nvSpPr>
      <xdr:spPr>
        <a:xfrm>
          <a:off x="235324" y="535081"/>
          <a:ext cx="5020235" cy="38099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Métricas</a:t>
          </a:r>
          <a:r>
            <a:rPr lang="en-US" sz="18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por Franja Horaria y Recurso</a:t>
          </a:r>
          <a:endParaRPr lang="es-CO" sz="2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369793</xdr:colOff>
      <xdr:row>6</xdr:row>
      <xdr:rowOff>156881</xdr:rowOff>
    </xdr:from>
    <xdr:to>
      <xdr:col>19</xdr:col>
      <xdr:colOff>33617</xdr:colOff>
      <xdr:row>43</xdr:row>
      <xdr:rowOff>78440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759B63E6-1489-4812-9B50-B6D768DE8432}"/>
            </a:ext>
          </a:extLst>
        </xdr:cNvPr>
        <xdr:cNvSpPr/>
      </xdr:nvSpPr>
      <xdr:spPr>
        <a:xfrm>
          <a:off x="11799793" y="1299881"/>
          <a:ext cx="4303059" cy="6981265"/>
        </a:xfrm>
        <a:prstGeom prst="rect">
          <a:avLst/>
        </a:prstGeom>
        <a:noFill/>
        <a:ln>
          <a:solidFill>
            <a:srgbClr val="C5074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257176</xdr:colOff>
      <xdr:row>7</xdr:row>
      <xdr:rowOff>47625</xdr:rowOff>
    </xdr:from>
    <xdr:to>
      <xdr:col>13</xdr:col>
      <xdr:colOff>547687</xdr:colOff>
      <xdr:row>32</xdr:row>
      <xdr:rowOff>126197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25E6AEC0-2E96-43F5-AEB0-E6EC51DF6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35719</xdr:colOff>
      <xdr:row>0</xdr:row>
      <xdr:rowOff>59531</xdr:rowOff>
    </xdr:from>
    <xdr:to>
      <xdr:col>10</xdr:col>
      <xdr:colOff>476249</xdr:colOff>
      <xdr:row>6</xdr:row>
      <xdr:rowOff>2380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82" name="FECHA_HORA 4">
              <a:extLst>
                <a:ext uri="{FF2B5EF4-FFF2-40B4-BE49-F238E27FC236}">
                  <a16:creationId xmlns:a16="http://schemas.microsoft.com/office/drawing/2014/main" id="{829EABA8-C4A4-44BF-AB0F-EACC5E9A141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_HOR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22094" y="59531"/>
              <a:ext cx="4107655" cy="10858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35</xdr:row>
      <xdr:rowOff>178593</xdr:rowOff>
    </xdr:from>
    <xdr:to>
      <xdr:col>1</xdr:col>
      <xdr:colOff>1345407</xdr:colOff>
      <xdr:row>37</xdr:row>
      <xdr:rowOff>11905</xdr:rowOff>
    </xdr:to>
    <xdr:sp macro="" textlink="">
      <xdr:nvSpPr>
        <xdr:cNvPr id="83" name="Rectángulo 82">
          <a:extLst>
            <a:ext uri="{FF2B5EF4-FFF2-40B4-BE49-F238E27FC236}">
              <a16:creationId xmlns:a16="http://schemas.microsoft.com/office/drawing/2014/main" id="{3CB2DBAC-5C5F-432B-8451-911B5E724433}"/>
            </a:ext>
          </a:extLst>
        </xdr:cNvPr>
        <xdr:cNvSpPr/>
      </xdr:nvSpPr>
      <xdr:spPr>
        <a:xfrm>
          <a:off x="261938" y="6655593"/>
          <a:ext cx="1345407" cy="214312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RECURSOS</a:t>
          </a:r>
        </a:p>
      </xdr:txBody>
    </xdr:sp>
    <xdr:clientData/>
  </xdr:twoCellAnchor>
  <xdr:twoCellAnchor>
    <xdr:from>
      <xdr:col>1</xdr:col>
      <xdr:colOff>1343026</xdr:colOff>
      <xdr:row>34</xdr:row>
      <xdr:rowOff>176210</xdr:rowOff>
    </xdr:from>
    <xdr:to>
      <xdr:col>3</xdr:col>
      <xdr:colOff>1</xdr:colOff>
      <xdr:row>36</xdr:row>
      <xdr:rowOff>23811</xdr:rowOff>
    </xdr:to>
    <xdr:sp macro="" textlink="">
      <xdr:nvSpPr>
        <xdr:cNvPr id="84" name="Rectángulo 83">
          <a:extLst>
            <a:ext uri="{FF2B5EF4-FFF2-40B4-BE49-F238E27FC236}">
              <a16:creationId xmlns:a16="http://schemas.microsoft.com/office/drawing/2014/main" id="{06380A03-F401-4DAD-838D-79E5EA5046C2}"/>
            </a:ext>
          </a:extLst>
        </xdr:cNvPr>
        <xdr:cNvSpPr/>
      </xdr:nvSpPr>
      <xdr:spPr>
        <a:xfrm>
          <a:off x="1604964" y="6462710"/>
          <a:ext cx="931068" cy="228601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CAMPAÑA</a:t>
          </a:r>
        </a:p>
      </xdr:txBody>
    </xdr:sp>
    <xdr:clientData/>
  </xdr:twoCellAnchor>
  <xdr:twoCellAnchor>
    <xdr:from>
      <xdr:col>14</xdr:col>
      <xdr:colOff>912019</xdr:colOff>
      <xdr:row>36</xdr:row>
      <xdr:rowOff>7140</xdr:rowOff>
    </xdr:from>
    <xdr:to>
      <xdr:col>15</xdr:col>
      <xdr:colOff>1297781</xdr:colOff>
      <xdr:row>36</xdr:row>
      <xdr:rowOff>190499</xdr:rowOff>
    </xdr:to>
    <xdr:sp macro="" textlink="">
      <xdr:nvSpPr>
        <xdr:cNvPr id="85" name="Rectángulo 84">
          <a:extLst>
            <a:ext uri="{FF2B5EF4-FFF2-40B4-BE49-F238E27FC236}">
              <a16:creationId xmlns:a16="http://schemas.microsoft.com/office/drawing/2014/main" id="{654EBE7C-6B38-4694-9EBD-1103A63FD505}"/>
            </a:ext>
          </a:extLst>
        </xdr:cNvPr>
        <xdr:cNvSpPr/>
      </xdr:nvSpPr>
      <xdr:spPr>
        <a:xfrm>
          <a:off x="13532644" y="6674640"/>
          <a:ext cx="1302543" cy="183359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TOTAL GENERAL</a:t>
          </a:r>
        </a:p>
      </xdr:txBody>
    </xdr:sp>
    <xdr:clientData/>
  </xdr:twoCellAnchor>
  <xdr:twoCellAnchor>
    <xdr:from>
      <xdr:col>1</xdr:col>
      <xdr:colOff>154780</xdr:colOff>
      <xdr:row>0</xdr:row>
      <xdr:rowOff>119063</xdr:rowOff>
    </xdr:from>
    <xdr:to>
      <xdr:col>7</xdr:col>
      <xdr:colOff>552979</xdr:colOff>
      <xdr:row>3</xdr:row>
      <xdr:rowOff>56470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342410F7-2B89-4B88-B759-10C42B2C8B35}"/>
            </a:ext>
          </a:extLst>
        </xdr:cNvPr>
        <xdr:cNvSpPr/>
      </xdr:nvSpPr>
      <xdr:spPr>
        <a:xfrm>
          <a:off x="416718" y="119063"/>
          <a:ext cx="6339417" cy="50890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2400" b="1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rPr>
            <a:t>Reporte de Datos Procesados</a:t>
          </a:r>
        </a:p>
      </xdr:txBody>
    </xdr:sp>
    <xdr:clientData/>
  </xdr:twoCellAnchor>
  <xdr:twoCellAnchor>
    <xdr:from>
      <xdr:col>1</xdr:col>
      <xdr:colOff>130967</xdr:colOff>
      <xdr:row>3</xdr:row>
      <xdr:rowOff>71439</xdr:rowOff>
    </xdr:from>
    <xdr:to>
      <xdr:col>6</xdr:col>
      <xdr:colOff>571499</xdr:colOff>
      <xdr:row>5</xdr:row>
      <xdr:rowOff>71437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8CF576AC-94FA-470F-B443-54BBA2FE0178}"/>
            </a:ext>
          </a:extLst>
        </xdr:cNvPr>
        <xdr:cNvSpPr/>
      </xdr:nvSpPr>
      <xdr:spPr>
        <a:xfrm>
          <a:off x="392905" y="642939"/>
          <a:ext cx="5464969" cy="38099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Distribución por Campaña - Marca</a:t>
          </a:r>
          <a:endParaRPr lang="es-CO" sz="24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10</xdr:col>
      <xdr:colOff>11907</xdr:colOff>
      <xdr:row>0</xdr:row>
      <xdr:rowOff>59531</xdr:rowOff>
    </xdr:from>
    <xdr:to>
      <xdr:col>10</xdr:col>
      <xdr:colOff>547687</xdr:colOff>
      <xdr:row>2</xdr:row>
      <xdr:rowOff>130968</xdr:rowOff>
    </xdr:to>
    <xdr:sp macro="" textlink="">
      <xdr:nvSpPr>
        <xdr:cNvPr id="81" name="Rectángulo 80">
          <a:extLst>
            <a:ext uri="{FF2B5EF4-FFF2-40B4-BE49-F238E27FC236}">
              <a16:creationId xmlns:a16="http://schemas.microsoft.com/office/drawing/2014/main" id="{69DCBA29-B215-4022-B3E1-31C104849CA7}"/>
            </a:ext>
          </a:extLst>
        </xdr:cNvPr>
        <xdr:cNvSpPr/>
      </xdr:nvSpPr>
      <xdr:spPr>
        <a:xfrm>
          <a:off x="8965407" y="59531"/>
          <a:ext cx="535780" cy="4524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i="0" u="none" strike="noStrike">
              <a:solidFill>
                <a:schemeClr val="bg2">
                  <a:lumMod val="50000"/>
                </a:schemeClr>
              </a:solidFill>
              <a:latin typeface="Calibri"/>
              <a:cs typeface="Calibri"/>
            </a:rPr>
            <a:t>📅</a:t>
          </a:r>
          <a:endParaRPr lang="en-US" sz="1600" i="0" u="none" strike="noStrike">
            <a:solidFill>
              <a:schemeClr val="bg2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13</xdr:col>
      <xdr:colOff>904876</xdr:colOff>
      <xdr:row>9</xdr:row>
      <xdr:rowOff>69653</xdr:rowOff>
    </xdr:from>
    <xdr:to>
      <xdr:col>16</xdr:col>
      <xdr:colOff>238126</xdr:colOff>
      <xdr:row>13</xdr:row>
      <xdr:rowOff>152996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323E10AF-4185-4DD6-A1AD-55E76006D7AD}"/>
            </a:ext>
          </a:extLst>
        </xdr:cNvPr>
        <xdr:cNvGrpSpPr/>
      </xdr:nvGrpSpPr>
      <xdr:grpSpPr>
        <a:xfrm>
          <a:off x="12608720" y="1784153"/>
          <a:ext cx="2476500" cy="845343"/>
          <a:chOff x="12606338" y="2414588"/>
          <a:chExt cx="2476500" cy="845343"/>
        </a:xfrm>
      </xdr:grpSpPr>
      <xdr:sp macro="" textlink="">
        <xdr:nvSpPr>
          <xdr:cNvPr id="17" name="Rectángulo: esquinas redondeadas 16">
            <a:extLst>
              <a:ext uri="{FF2B5EF4-FFF2-40B4-BE49-F238E27FC236}">
                <a16:creationId xmlns:a16="http://schemas.microsoft.com/office/drawing/2014/main" id="{34D2ED55-0B24-45E2-B835-41C1ED40CA0C}"/>
              </a:ext>
            </a:extLst>
          </xdr:cNvPr>
          <xdr:cNvSpPr/>
        </xdr:nvSpPr>
        <xdr:spPr>
          <a:xfrm>
            <a:off x="12606338" y="2414588"/>
            <a:ext cx="2476500" cy="845343"/>
          </a:xfrm>
          <a:prstGeom prst="roundRect">
            <a:avLst>
              <a:gd name="adj" fmla="val 1901"/>
            </a:avLst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 b="1"/>
          </a:p>
        </xdr:txBody>
      </xdr:sp>
      <xdr:sp macro="" textlink="">
        <xdr:nvSpPr>
          <xdr:cNvPr id="18" name="Rectángulo 17">
            <a:extLst>
              <a:ext uri="{FF2B5EF4-FFF2-40B4-BE49-F238E27FC236}">
                <a16:creationId xmlns:a16="http://schemas.microsoft.com/office/drawing/2014/main" id="{20B1732A-BB9F-456B-B3A4-893D527B0D86}"/>
              </a:ext>
            </a:extLst>
          </xdr:cNvPr>
          <xdr:cNvSpPr/>
        </xdr:nvSpPr>
        <xdr:spPr>
          <a:xfrm>
            <a:off x="13306766" y="2472309"/>
            <a:ext cx="1776068" cy="3200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600" b="1">
                <a:solidFill>
                  <a:srgbClr val="0070C0"/>
                </a:solidFill>
              </a:rPr>
              <a:t>TRANSACCIONAL</a:t>
            </a:r>
          </a:p>
        </xdr:txBody>
      </xdr:sp>
      <xdr:sp macro="" textlink="' '!AH4">
        <xdr:nvSpPr>
          <xdr:cNvPr id="19" name="Rectángulo 18">
            <a:extLst>
              <a:ext uri="{FF2B5EF4-FFF2-40B4-BE49-F238E27FC236}">
                <a16:creationId xmlns:a16="http://schemas.microsoft.com/office/drawing/2014/main" id="{35727DD9-D4D5-494A-936B-0A93023B86A8}"/>
              </a:ext>
            </a:extLst>
          </xdr:cNvPr>
          <xdr:cNvSpPr/>
        </xdr:nvSpPr>
        <xdr:spPr>
          <a:xfrm>
            <a:off x="13332616" y="2831304"/>
            <a:ext cx="1738312" cy="3200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fld id="{383B76AC-587F-49C7-8A78-2765A0889C6C}" type="TxLink">
              <a:rPr lang="en-US" sz="2000" b="1" i="1" u="none" strike="noStrike">
                <a:solidFill>
                  <a:schemeClr val="tx1"/>
                </a:solidFill>
                <a:latin typeface="Calibri"/>
                <a:ea typeface="Calibri"/>
                <a:cs typeface="Calibri"/>
              </a:rPr>
              <a:pPr marL="0" indent="0" algn="l"/>
              <a:t>17.354%</a:t>
            </a:fld>
            <a:endParaRPr lang="es-CO" sz="2000" b="1" i="1" u="none" strike="noStrike">
              <a:solidFill>
                <a:schemeClr val="tx1"/>
              </a:solidFill>
              <a:latin typeface="Calibri"/>
              <a:ea typeface="Calibri"/>
              <a:cs typeface="Calibri"/>
            </a:endParaRPr>
          </a:p>
        </xdr:txBody>
      </xdr:sp>
      <xdr:pic>
        <xdr:nvPicPr>
          <xdr:cNvPr id="4" name="Gráfico 3" descr="Centro de llamadas con relleno sólido">
            <a:extLst>
              <a:ext uri="{FF2B5EF4-FFF2-40B4-BE49-F238E27FC236}">
                <a16:creationId xmlns:a16="http://schemas.microsoft.com/office/drawing/2014/main" id="{93E3ACB9-CD6F-4B25-B736-339F5A1C67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27782" y="2547938"/>
            <a:ext cx="523874" cy="523874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904876</xdr:colOff>
      <xdr:row>2</xdr:row>
      <xdr:rowOff>119064</xdr:rowOff>
    </xdr:from>
    <xdr:to>
      <xdr:col>16</xdr:col>
      <xdr:colOff>238126</xdr:colOff>
      <xdr:row>7</xdr:row>
      <xdr:rowOff>11907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88471A6D-51CF-4896-8772-892996E2F15A}"/>
            </a:ext>
          </a:extLst>
        </xdr:cNvPr>
        <xdr:cNvGrpSpPr/>
      </xdr:nvGrpSpPr>
      <xdr:grpSpPr>
        <a:xfrm>
          <a:off x="12608720" y="500064"/>
          <a:ext cx="2476500" cy="845343"/>
          <a:chOff x="12608720" y="1357313"/>
          <a:chExt cx="2476500" cy="845343"/>
        </a:xfrm>
      </xdr:grpSpPr>
      <xdr:sp macro="" textlink="">
        <xdr:nvSpPr>
          <xdr:cNvPr id="14" name="Rectángulo: esquinas redondeadas 13">
            <a:extLst>
              <a:ext uri="{FF2B5EF4-FFF2-40B4-BE49-F238E27FC236}">
                <a16:creationId xmlns:a16="http://schemas.microsoft.com/office/drawing/2014/main" id="{E7EDB4D4-9A13-48F0-AA52-81FF0A1DBEAC}"/>
              </a:ext>
            </a:extLst>
          </xdr:cNvPr>
          <xdr:cNvSpPr/>
        </xdr:nvSpPr>
        <xdr:spPr>
          <a:xfrm>
            <a:off x="12608720" y="1357313"/>
            <a:ext cx="2476500" cy="845343"/>
          </a:xfrm>
          <a:prstGeom prst="roundRect">
            <a:avLst>
              <a:gd name="adj" fmla="val 1901"/>
            </a:avLst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 b="1"/>
          </a:p>
        </xdr:txBody>
      </xdr:sp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14CCC96A-5962-4573-965A-552D60645328}"/>
              </a:ext>
            </a:extLst>
          </xdr:cNvPr>
          <xdr:cNvSpPr/>
        </xdr:nvSpPr>
        <xdr:spPr>
          <a:xfrm>
            <a:off x="13309148" y="1415034"/>
            <a:ext cx="1776068" cy="3200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600" b="1">
                <a:solidFill>
                  <a:srgbClr val="0070C0"/>
                </a:solidFill>
              </a:rPr>
              <a:t>IVR INTERCOM</a:t>
            </a:r>
          </a:p>
        </xdr:txBody>
      </xdr:sp>
      <xdr:sp macro="" textlink="' '!AH2">
        <xdr:nvSpPr>
          <xdr:cNvPr id="16" name="Rectángulo 15">
            <a:extLst>
              <a:ext uri="{FF2B5EF4-FFF2-40B4-BE49-F238E27FC236}">
                <a16:creationId xmlns:a16="http://schemas.microsoft.com/office/drawing/2014/main" id="{85EF633B-3D0B-4B57-8BFD-5871F369607A}"/>
              </a:ext>
            </a:extLst>
          </xdr:cNvPr>
          <xdr:cNvSpPr/>
        </xdr:nvSpPr>
        <xdr:spPr>
          <a:xfrm>
            <a:off x="13334998" y="1774029"/>
            <a:ext cx="1738312" cy="3200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9E1F7181-6DD9-45C2-8A98-4D714890CDE9}" type="TxLink">
              <a:rPr lang="en-US" sz="2000" b="1" i="1" u="none" strike="noStrike">
                <a:solidFill>
                  <a:schemeClr val="tx1"/>
                </a:solidFill>
                <a:latin typeface="Calibri"/>
                <a:ea typeface="Calibri"/>
                <a:cs typeface="Calibri"/>
              </a:rPr>
              <a:pPr algn="l"/>
              <a:t>22.901%</a:t>
            </a:fld>
            <a:endParaRPr lang="es-CO" sz="4400" b="1" i="1">
              <a:solidFill>
                <a:schemeClr val="tx1"/>
              </a:solidFill>
            </a:endParaRPr>
          </a:p>
        </xdr:txBody>
      </xdr:sp>
      <xdr:pic>
        <xdr:nvPicPr>
          <xdr:cNvPr id="6" name="Gráfico 5" descr="Auricular con relleno sólido">
            <a:extLst>
              <a:ext uri="{FF2B5EF4-FFF2-40B4-BE49-F238E27FC236}">
                <a16:creationId xmlns:a16="http://schemas.microsoft.com/office/drawing/2014/main" id="{D0CC7B4B-CA8D-40F6-A6E3-CB564B5C65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734906" y="1519219"/>
            <a:ext cx="504844" cy="504844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904876</xdr:colOff>
      <xdr:row>29</xdr:row>
      <xdr:rowOff>111920</xdr:rowOff>
    </xdr:from>
    <xdr:to>
      <xdr:col>16</xdr:col>
      <xdr:colOff>238126</xdr:colOff>
      <xdr:row>34</xdr:row>
      <xdr:rowOff>4763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D6606A8E-1C62-4804-A478-B520443F04C8}"/>
            </a:ext>
          </a:extLst>
        </xdr:cNvPr>
        <xdr:cNvGrpSpPr/>
      </xdr:nvGrpSpPr>
      <xdr:grpSpPr>
        <a:xfrm>
          <a:off x="12608720" y="5636420"/>
          <a:ext cx="2476500" cy="845343"/>
          <a:chOff x="12601575" y="4457700"/>
          <a:chExt cx="2476500" cy="845343"/>
        </a:xfrm>
      </xdr:grpSpPr>
      <xdr:sp macro="" textlink="">
        <xdr:nvSpPr>
          <xdr:cNvPr id="23" name="Rectángulo: esquinas redondeadas 22">
            <a:extLst>
              <a:ext uri="{FF2B5EF4-FFF2-40B4-BE49-F238E27FC236}">
                <a16:creationId xmlns:a16="http://schemas.microsoft.com/office/drawing/2014/main" id="{79D09A3D-A4B4-441E-B059-E5DF3E6D5E62}"/>
              </a:ext>
            </a:extLst>
          </xdr:cNvPr>
          <xdr:cNvSpPr/>
        </xdr:nvSpPr>
        <xdr:spPr>
          <a:xfrm>
            <a:off x="12601575" y="4457700"/>
            <a:ext cx="2476500" cy="845343"/>
          </a:xfrm>
          <a:prstGeom prst="roundRect">
            <a:avLst>
              <a:gd name="adj" fmla="val 1901"/>
            </a:avLst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 b="1"/>
          </a:p>
        </xdr:txBody>
      </xdr:sp>
      <xdr:sp macro="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D40706BA-E760-4AC5-B2C1-EA281A8AD07D}"/>
              </a:ext>
            </a:extLst>
          </xdr:cNvPr>
          <xdr:cNvSpPr/>
        </xdr:nvSpPr>
        <xdr:spPr>
          <a:xfrm>
            <a:off x="13302003" y="4515421"/>
            <a:ext cx="1776068" cy="3200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600" b="1">
                <a:solidFill>
                  <a:srgbClr val="0070C0"/>
                </a:solidFill>
              </a:rPr>
              <a:t>SERVICE</a:t>
            </a:r>
            <a:r>
              <a:rPr lang="es-CO" sz="1600" b="1" baseline="0">
                <a:solidFill>
                  <a:srgbClr val="0070C0"/>
                </a:solidFill>
              </a:rPr>
              <a:t>BOTS</a:t>
            </a:r>
            <a:endParaRPr lang="es-CO" sz="1600" b="1">
              <a:solidFill>
                <a:srgbClr val="0070C0"/>
              </a:solidFill>
            </a:endParaRPr>
          </a:p>
        </xdr:txBody>
      </xdr:sp>
      <xdr:sp macro="" textlink="' '!AH5">
        <xdr:nvSpPr>
          <xdr:cNvPr id="25" name="Rectángulo 24">
            <a:extLst>
              <a:ext uri="{FF2B5EF4-FFF2-40B4-BE49-F238E27FC236}">
                <a16:creationId xmlns:a16="http://schemas.microsoft.com/office/drawing/2014/main" id="{5F7B7BBE-8A5F-456E-AA87-7A38D9D20B6C}"/>
              </a:ext>
            </a:extLst>
          </xdr:cNvPr>
          <xdr:cNvSpPr/>
        </xdr:nvSpPr>
        <xdr:spPr>
          <a:xfrm>
            <a:off x="13327853" y="4874416"/>
            <a:ext cx="1738312" cy="3200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fld id="{C4C36B13-89E7-4548-9798-643607F902C5}" type="TxLink">
              <a:rPr lang="en-US" sz="2000" b="1" i="1" u="none" strike="noStrike">
                <a:solidFill>
                  <a:schemeClr val="tx1"/>
                </a:solidFill>
                <a:latin typeface="Calibri"/>
                <a:ea typeface="Calibri"/>
                <a:cs typeface="Calibri"/>
              </a:rPr>
              <a:pPr marL="0" indent="0" algn="l"/>
              <a:t>1.293%</a:t>
            </a:fld>
            <a:endParaRPr lang="es-CO" sz="2000" b="1" i="1" u="none" strike="noStrike">
              <a:solidFill>
                <a:schemeClr val="tx1"/>
              </a:solidFill>
              <a:latin typeface="Calibri"/>
              <a:ea typeface="Calibri"/>
              <a:cs typeface="Calibri"/>
            </a:endParaRPr>
          </a:p>
        </xdr:txBody>
      </xdr:sp>
      <xdr:pic>
        <xdr:nvPicPr>
          <xdr:cNvPr id="8" name="Gráfico 7" descr="Robot con relleno sólido">
            <a:extLst>
              <a:ext uri="{FF2B5EF4-FFF2-40B4-BE49-F238E27FC236}">
                <a16:creationId xmlns:a16="http://schemas.microsoft.com/office/drawing/2014/main" id="{E0F80364-ED41-400D-871C-70CA9728F9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646781" y="4550532"/>
            <a:ext cx="616781" cy="616781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904876</xdr:colOff>
      <xdr:row>16</xdr:row>
      <xdr:rowOff>20242</xdr:rowOff>
    </xdr:from>
    <xdr:to>
      <xdr:col>16</xdr:col>
      <xdr:colOff>238126</xdr:colOff>
      <xdr:row>20</xdr:row>
      <xdr:rowOff>103585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A81AF293-466A-4F7D-97E1-A89A5DCCB69E}"/>
            </a:ext>
          </a:extLst>
        </xdr:cNvPr>
        <xdr:cNvGrpSpPr/>
      </xdr:nvGrpSpPr>
      <xdr:grpSpPr>
        <a:xfrm>
          <a:off x="12608720" y="3068242"/>
          <a:ext cx="2476500" cy="845343"/>
          <a:chOff x="12603957" y="3424238"/>
          <a:chExt cx="2476500" cy="845343"/>
        </a:xfrm>
      </xdr:grpSpPr>
      <xdr:sp macro="" textlink="">
        <xdr:nvSpPr>
          <xdr:cNvPr id="20" name="Rectángulo: esquinas redondeadas 19">
            <a:extLst>
              <a:ext uri="{FF2B5EF4-FFF2-40B4-BE49-F238E27FC236}">
                <a16:creationId xmlns:a16="http://schemas.microsoft.com/office/drawing/2014/main" id="{B49EA9AE-E929-4855-AD22-8003212AD1B3}"/>
              </a:ext>
            </a:extLst>
          </xdr:cNvPr>
          <xdr:cNvSpPr/>
        </xdr:nvSpPr>
        <xdr:spPr>
          <a:xfrm>
            <a:off x="12603957" y="3424238"/>
            <a:ext cx="2476500" cy="845343"/>
          </a:xfrm>
          <a:prstGeom prst="roundRect">
            <a:avLst>
              <a:gd name="adj" fmla="val 1901"/>
            </a:avLst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 b="1"/>
          </a:p>
        </xdr:txBody>
      </xdr:sp>
      <xdr:sp macro="" textlink="">
        <xdr:nvSpPr>
          <xdr:cNvPr id="21" name="Rectángulo 20">
            <a:extLst>
              <a:ext uri="{FF2B5EF4-FFF2-40B4-BE49-F238E27FC236}">
                <a16:creationId xmlns:a16="http://schemas.microsoft.com/office/drawing/2014/main" id="{A785FDBE-41BA-4BF4-A46A-9A6C313830C4}"/>
              </a:ext>
            </a:extLst>
          </xdr:cNvPr>
          <xdr:cNvSpPr/>
        </xdr:nvSpPr>
        <xdr:spPr>
          <a:xfrm>
            <a:off x="13304385" y="3481959"/>
            <a:ext cx="1776068" cy="3200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600" b="1">
                <a:solidFill>
                  <a:srgbClr val="0070C0"/>
                </a:solidFill>
              </a:rPr>
              <a:t>SMS SAEM</a:t>
            </a:r>
          </a:p>
        </xdr:txBody>
      </xdr:sp>
      <xdr:sp macro="" textlink="' '!AH7">
        <xdr:nvSpPr>
          <xdr:cNvPr id="22" name="Rectángulo 21">
            <a:extLst>
              <a:ext uri="{FF2B5EF4-FFF2-40B4-BE49-F238E27FC236}">
                <a16:creationId xmlns:a16="http://schemas.microsoft.com/office/drawing/2014/main" id="{0A8AB12B-EA10-4902-AB13-0D672F7AEAE6}"/>
              </a:ext>
            </a:extLst>
          </xdr:cNvPr>
          <xdr:cNvSpPr/>
        </xdr:nvSpPr>
        <xdr:spPr>
          <a:xfrm>
            <a:off x="13330235" y="3840954"/>
            <a:ext cx="1738312" cy="3200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fld id="{49D154E0-886B-46E0-93BE-9DC6B94E2985}" type="TxLink">
              <a:rPr lang="en-US" sz="2000" b="1" i="1" u="none" strike="noStrike">
                <a:solidFill>
                  <a:schemeClr val="tx1"/>
                </a:solidFill>
                <a:latin typeface="Calibri"/>
                <a:ea typeface="Calibri"/>
                <a:cs typeface="Calibri"/>
              </a:rPr>
              <a:pPr marL="0" indent="0" algn="l"/>
              <a:t>58.451%</a:t>
            </a:fld>
            <a:endParaRPr lang="es-CO" sz="2000" b="1" i="1" u="none" strike="noStrike">
              <a:solidFill>
                <a:schemeClr val="tx1"/>
              </a:solidFill>
              <a:latin typeface="Calibri"/>
              <a:ea typeface="Calibri"/>
              <a:cs typeface="Calibri"/>
            </a:endParaRPr>
          </a:p>
        </xdr:txBody>
      </xdr:sp>
      <xdr:pic>
        <xdr:nvPicPr>
          <xdr:cNvPr id="10" name="Gráfico 9" descr="Subtítulos con relleno sólido">
            <a:extLst>
              <a:ext uri="{FF2B5EF4-FFF2-40B4-BE49-F238E27FC236}">
                <a16:creationId xmlns:a16="http://schemas.microsoft.com/office/drawing/2014/main" id="{CDDF32CD-B1AC-462E-BF24-768BE66548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737250" y="3593250"/>
            <a:ext cx="490594" cy="490594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904876</xdr:colOff>
      <xdr:row>22</xdr:row>
      <xdr:rowOff>161331</xdr:rowOff>
    </xdr:from>
    <xdr:to>
      <xdr:col>16</xdr:col>
      <xdr:colOff>238126</xdr:colOff>
      <xdr:row>27</xdr:row>
      <xdr:rowOff>54174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7A7C3C8C-B780-4856-BC3F-6B2E9E67EF1B}"/>
            </a:ext>
          </a:extLst>
        </xdr:cNvPr>
        <xdr:cNvGrpSpPr/>
      </xdr:nvGrpSpPr>
      <xdr:grpSpPr>
        <a:xfrm>
          <a:off x="12608720" y="4352331"/>
          <a:ext cx="2476500" cy="845343"/>
          <a:chOff x="12575382" y="4371976"/>
          <a:chExt cx="2476500" cy="845343"/>
        </a:xfrm>
      </xdr:grpSpPr>
      <xdr:grpSp>
        <xdr:nvGrpSpPr>
          <xdr:cNvPr id="41" name="Grupo 40">
            <a:extLst>
              <a:ext uri="{FF2B5EF4-FFF2-40B4-BE49-F238E27FC236}">
                <a16:creationId xmlns:a16="http://schemas.microsoft.com/office/drawing/2014/main" id="{4EF2B0ED-2710-4A34-9E7A-CB3E4E108657}"/>
              </a:ext>
            </a:extLst>
          </xdr:cNvPr>
          <xdr:cNvGrpSpPr/>
        </xdr:nvGrpSpPr>
        <xdr:grpSpPr>
          <a:xfrm>
            <a:off x="12575382" y="4371976"/>
            <a:ext cx="2476500" cy="845343"/>
            <a:chOff x="12601575" y="4457700"/>
            <a:chExt cx="2476500" cy="845343"/>
          </a:xfrm>
        </xdr:grpSpPr>
        <xdr:sp macro="" textlink="">
          <xdr:nvSpPr>
            <xdr:cNvPr id="42" name="Rectángulo: esquinas redondeadas 41">
              <a:extLst>
                <a:ext uri="{FF2B5EF4-FFF2-40B4-BE49-F238E27FC236}">
                  <a16:creationId xmlns:a16="http://schemas.microsoft.com/office/drawing/2014/main" id="{BDE2532A-3219-45C9-B3B1-9A35E92C43FE}"/>
                </a:ext>
              </a:extLst>
            </xdr:cNvPr>
            <xdr:cNvSpPr/>
          </xdr:nvSpPr>
          <xdr:spPr>
            <a:xfrm>
              <a:off x="12601575" y="4457700"/>
              <a:ext cx="2476500" cy="845343"/>
            </a:xfrm>
            <a:prstGeom prst="roundRect">
              <a:avLst>
                <a:gd name="adj" fmla="val 1901"/>
              </a:avLst>
            </a:prstGeom>
            <a:solidFill>
              <a:schemeClr val="bg1">
                <a:lumMod val="95000"/>
              </a:schemeClr>
            </a:solidFill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 b="1"/>
            </a:p>
          </xdr:txBody>
        </xdr:sp>
        <xdr:sp macro="" textlink="">
          <xdr:nvSpPr>
            <xdr:cNvPr id="43" name="Rectángulo 42">
              <a:extLst>
                <a:ext uri="{FF2B5EF4-FFF2-40B4-BE49-F238E27FC236}">
                  <a16:creationId xmlns:a16="http://schemas.microsoft.com/office/drawing/2014/main" id="{E9B2EB4A-D0EE-42DF-A0FF-D313745FEB87}"/>
                </a:ext>
              </a:extLst>
            </xdr:cNvPr>
            <xdr:cNvSpPr/>
          </xdr:nvSpPr>
          <xdr:spPr>
            <a:xfrm>
              <a:off x="13302003" y="4515421"/>
              <a:ext cx="1776068" cy="3200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600" b="1">
                  <a:solidFill>
                    <a:srgbClr val="0070C0"/>
                  </a:solidFill>
                </a:rPr>
                <a:t>WISEBOT</a:t>
              </a:r>
            </a:p>
          </xdr:txBody>
        </xdr:sp>
        <xdr:sp macro="" textlink="' '!AH5">
          <xdr:nvSpPr>
            <xdr:cNvPr id="44" name="Rectángulo 43">
              <a:extLst>
                <a:ext uri="{FF2B5EF4-FFF2-40B4-BE49-F238E27FC236}">
                  <a16:creationId xmlns:a16="http://schemas.microsoft.com/office/drawing/2014/main" id="{7F9C2570-0E2B-4022-8821-EA0CDC067951}"/>
                </a:ext>
              </a:extLst>
            </xdr:cNvPr>
            <xdr:cNvSpPr/>
          </xdr:nvSpPr>
          <xdr:spPr>
            <a:xfrm>
              <a:off x="13327853" y="4874416"/>
              <a:ext cx="1738312" cy="3200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l"/>
              <a:fld id="{C4C36B13-89E7-4548-9798-643607F902C5}" type="TxLink">
                <a:rPr lang="en-US" sz="2000" b="1" i="1" u="none" strike="noStrike">
                  <a:solidFill>
                    <a:schemeClr val="tx1"/>
                  </a:solidFill>
                  <a:latin typeface="Calibri"/>
                  <a:ea typeface="Calibri"/>
                  <a:cs typeface="Calibri"/>
                </a:rPr>
                <a:pPr marL="0" indent="0" algn="l"/>
                <a:t>1.293%</a:t>
              </a:fld>
              <a:endParaRPr lang="es-CO" sz="2000" b="1" i="1" u="none" strike="noStrike">
                <a:solidFill>
                  <a:schemeClr val="tx1"/>
                </a:solidFill>
                <a:latin typeface="Calibri"/>
                <a:ea typeface="Calibri"/>
                <a:cs typeface="Calibri"/>
              </a:endParaRPr>
            </a:p>
          </xdr:txBody>
        </xdr:sp>
      </xdr:grpSp>
      <xdr:pic>
        <xdr:nvPicPr>
          <xdr:cNvPr id="33" name="Gráfico 32" descr="Red social con relleno sólido">
            <a:extLst>
              <a:ext uri="{FF2B5EF4-FFF2-40B4-BE49-F238E27FC236}">
                <a16:creationId xmlns:a16="http://schemas.microsoft.com/office/drawing/2014/main" id="{42C54998-6ACE-4C97-BA02-E7EE4C0D0B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692063" y="4500563"/>
            <a:ext cx="547687" cy="54768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154782</xdr:colOff>
      <xdr:row>1</xdr:row>
      <xdr:rowOff>166687</xdr:rowOff>
    </xdr:from>
    <xdr:to>
      <xdr:col>13</xdr:col>
      <xdr:colOff>488857</xdr:colOff>
      <xdr:row>4</xdr:row>
      <xdr:rowOff>144275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FB795443-B2E5-461F-A68D-1F96F0F902BA}"/>
            </a:ext>
          </a:extLst>
        </xdr:cNvPr>
        <xdr:cNvGrpSpPr/>
      </xdr:nvGrpSpPr>
      <xdr:grpSpPr>
        <a:xfrm>
          <a:off x="10025063" y="357187"/>
          <a:ext cx="2167638" cy="549088"/>
          <a:chOff x="1391331" y="1265309"/>
          <a:chExt cx="6252484" cy="1592579"/>
        </a:xfrm>
      </xdr:grpSpPr>
      <xdr:sp macro="" textlink="">
        <xdr:nvSpPr>
          <xdr:cNvPr id="53" name="Freeform 21">
            <a:extLst>
              <a:ext uri="{FF2B5EF4-FFF2-40B4-BE49-F238E27FC236}">
                <a16:creationId xmlns:a16="http://schemas.microsoft.com/office/drawing/2014/main" id="{9351A2C4-1BCE-47AD-9038-D1C3F8BE6427}"/>
              </a:ext>
            </a:extLst>
          </xdr:cNvPr>
          <xdr:cNvSpPr/>
        </xdr:nvSpPr>
        <xdr:spPr>
          <a:xfrm>
            <a:off x="1391331" y="1265309"/>
            <a:ext cx="1684327" cy="1592579"/>
          </a:xfrm>
          <a:custGeom>
            <a:avLst/>
            <a:gdLst/>
            <a:ahLst/>
            <a:cxnLst/>
            <a:rect l="l" t="t" r="r" b="b"/>
            <a:pathLst>
              <a:path w="1684327" h="1592579">
                <a:moveTo>
                  <a:pt x="0" y="0"/>
                </a:moveTo>
                <a:lnTo>
                  <a:pt x="1684328" y="0"/>
                </a:lnTo>
                <a:lnTo>
                  <a:pt x="1684328" y="1592579"/>
                </a:lnTo>
                <a:lnTo>
                  <a:pt x="0" y="1592579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2"/>
            <a:stretch>
              <a:fillRect l="-25074" r="-27423" b="-42755"/>
            </a:stretch>
          </a:blipFill>
        </xdr:spPr>
        <xdr:txBody>
          <a:bodyPr wrap="square"/>
          <a:lstStyle/>
          <a:p>
            <a:endParaRPr lang="es-CO"/>
          </a:p>
        </xdr:txBody>
      </xdr:sp>
      <xdr:sp macro="" textlink="">
        <xdr:nvSpPr>
          <xdr:cNvPr id="54" name="Freeform 22">
            <a:extLst>
              <a:ext uri="{FF2B5EF4-FFF2-40B4-BE49-F238E27FC236}">
                <a16:creationId xmlns:a16="http://schemas.microsoft.com/office/drawing/2014/main" id="{EBC7E8D3-B5B5-44EC-B5B7-C943ABCA852B}"/>
              </a:ext>
            </a:extLst>
          </xdr:cNvPr>
          <xdr:cNvSpPr/>
        </xdr:nvSpPr>
        <xdr:spPr>
          <a:xfrm>
            <a:off x="3154232" y="1713908"/>
            <a:ext cx="4489583" cy="1143980"/>
          </a:xfrm>
          <a:custGeom>
            <a:avLst/>
            <a:gdLst/>
            <a:ahLst/>
            <a:cxnLst/>
            <a:rect l="l" t="t" r="r" b="b"/>
            <a:pathLst>
              <a:path w="4489583" h="1143980">
                <a:moveTo>
                  <a:pt x="0" y="0"/>
                </a:moveTo>
                <a:lnTo>
                  <a:pt x="4489582" y="0"/>
                </a:lnTo>
                <a:lnTo>
                  <a:pt x="4489582" y="1143980"/>
                </a:lnTo>
                <a:lnTo>
                  <a:pt x="0" y="1143980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2"/>
            <a:stretch>
              <a:fillRect l="-9976" t="-295662" r="-10995" b="-24556"/>
            </a:stretch>
          </a:blipFill>
        </xdr:spPr>
        <xdr:txBody>
          <a:bodyPr wrap="square"/>
          <a:lstStyle/>
          <a:p>
            <a:endParaRPr lang="es-CO"/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JU4N D4V1D" refreshedDate="45396.038880671294" createdVersion="7" refreshedVersion="7" minRefreshableVersion="3" recordCount="222" xr:uid="{0DAB43DC-3305-4C26-A1D0-AF29C16DEE30}">
  <cacheSource type="worksheet">
    <worksheetSource name="Tabla1"/>
  </cacheSource>
  <cacheFields count="11">
    <cacheField name="FECHA" numFmtId="14">
      <sharedItems containsSemiMixedTypes="0" containsNonDate="0" containsDate="1" containsString="0" minDate="2024-03-04T00:00:00" maxDate="2024-04-14T00:00:00" count="29">
        <d v="2024-04-02T00:00:00"/>
        <d v="2024-04-03T00:00:00"/>
        <d v="2024-04-04T00:00:00"/>
        <d v="2024-04-05T00:00:00"/>
        <d v="2024-04-06T00:00:00"/>
        <d v="2024-04-08T00:00:00"/>
        <d v="2024-04-09T00:00:00"/>
        <d v="2024-04-10T00:00:00"/>
        <d v="2024-04-11T00:00:00"/>
        <d v="2024-04-12T00:00:00"/>
        <d v="2024-04-13T00:00:00"/>
        <d v="2024-03-21T00:00:00" u="1"/>
        <d v="2024-03-14T00:00:00" u="1"/>
        <d v="2024-03-07T00:00:00" u="1"/>
        <d v="2024-03-26T00:00:00" u="1"/>
        <d v="2024-03-19T00:00:00" u="1"/>
        <d v="2024-03-12T00:00:00" u="1"/>
        <d v="2024-03-05T00:00:00" u="1"/>
        <d v="2024-03-22T00:00:00" u="1"/>
        <d v="2024-03-15T00:00:00" u="1"/>
        <d v="2024-03-27T00:00:00" u="1"/>
        <d v="2024-03-20T00:00:00" u="1"/>
        <d v="2024-03-13T00:00:00" u="1"/>
        <d v="2024-03-06T00:00:00" u="1"/>
        <d v="2024-03-18T00:00:00" u="1"/>
        <d v="2024-03-30T00:00:00" u="1"/>
        <d v="2024-03-04T00:00:00" u="1"/>
        <d v="2024-03-23T00:00:00" u="1"/>
        <d v="2024-03-16T00:00:00" u="1"/>
      </sharedItems>
    </cacheField>
    <cacheField name="HORA" numFmtId="167">
      <sharedItems containsSemiMixedTypes="0" containsNonDate="0" containsDate="1" containsString="0" minDate="1899-12-30T08:00:00" maxDate="1899-12-30T17:00:00" count="19">
        <d v="1899-12-30T11:30:00"/>
        <d v="1899-12-30T09:00:00"/>
        <d v="1899-12-30T10:30:00"/>
        <d v="1899-12-30T11:00:00"/>
        <d v="1899-12-30T15:00:00"/>
        <d v="1899-12-30T09:30:00"/>
        <d v="1899-12-30T10:00:00"/>
        <d v="1899-12-30T10:40:00"/>
        <d v="1899-12-30T09:40:00"/>
        <d v="1899-12-30T10:10:00"/>
        <d v="1899-12-30T12:00:00"/>
        <d v="1899-12-30T16:00:00"/>
        <d v="1899-12-30T17:00:00"/>
        <d v="1899-12-30T14:00:00"/>
        <d v="1899-12-30T14:15:00"/>
        <d v="1899-12-30T16:30:00"/>
        <d v="1899-12-30T13:00:00"/>
        <d v="1899-12-30T08:00:00"/>
        <d v="1899-12-30T12:30:00"/>
      </sharedItems>
      <fieldGroup base="1">
        <rangePr groupBy="hours" startDate="1899-12-30T08:00:00" endDate="1899-12-30T17:00:00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  <cacheField name="MARCA" numFmtId="0">
      <sharedItems containsBlank="1" count="14">
        <s v="CASTIGO"/>
        <s v="MORA 0"/>
        <s v="MORA 30"/>
        <s v="POTENCIAL"/>
        <s v="MORA 120"/>
        <s v="MORA 150"/>
        <s v="MORA 180"/>
        <s v="MORA 210"/>
        <s v="MORA 60"/>
        <s v="MORA 90"/>
        <s v="GMAC"/>
        <s v="PRECHURN"/>
        <s v="PASH"/>
        <m u="1"/>
      </sharedItems>
    </cacheField>
    <cacheField name="PROCESO" numFmtId="0">
      <sharedItems containsBlank="1" count="10">
        <s v="IVR INTERCOM "/>
        <s v="SMS SAEM"/>
        <s v="IVR TRANSACCIONAL"/>
        <s v="SERVICEBOTS"/>
        <m u="1"/>
        <s v="IVR SAEM" u="1"/>
        <s v="SMS MASIVIAN" u="1"/>
        <s v="CORREO" u="1"/>
        <s v="WISEBOT" u="1"/>
        <s v="CORREO MASIVIAN" u="1"/>
      </sharedItems>
    </cacheField>
    <cacheField name="CANTIDAD" numFmtId="0">
      <sharedItems containsSemiMixedTypes="0" containsString="0" containsNumber="1" containsInteger="1" minValue="29" maxValue="499711"/>
    </cacheField>
    <cacheField name="CAMPAÑA" numFmtId="0">
      <sharedItems containsBlank="1" count="15">
        <s v="CLARO"/>
        <s v="GMAC"/>
        <s v="PASH"/>
        <m u="1"/>
        <s v="POTENCIAL" u="1"/>
        <s v="MORA 210" u="1"/>
        <s v="MORA 120" u="1"/>
        <s v="MORA 150" u="1"/>
        <s v="CASTIGO" u="1"/>
        <s v="MORA 180" u="1"/>
        <s v="MORA 30" u="1"/>
        <s v="PRECHURN" u="1"/>
        <s v="MORA 60" u="1"/>
        <s v="MORA 0" u="1"/>
        <s v="MORA 90" u="1"/>
      </sharedItems>
    </cacheField>
    <cacheField name="FECHA_HORA" numFmtId="166">
      <sharedItems containsSemiMixedTypes="0" containsNonDate="0" containsDate="1" containsString="0" minDate="2024-04-02T11:30:00" maxDate="2024-04-13T10:30:00" count="69">
        <d v="2024-04-02T11:30:00"/>
        <d v="2024-04-03T09:00:00"/>
        <d v="2024-04-03T10:30:00"/>
        <d v="2024-04-03T11:00:00"/>
        <d v="2024-04-03T15:00:00"/>
        <d v="2024-04-04T09:30:00"/>
        <d v="2024-04-04T10:00:00"/>
        <d v="2024-04-04T10:30:00"/>
        <d v="2024-04-04T10:40:00"/>
        <d v="2024-04-04T15:00:00"/>
        <d v="2024-04-05T09:40:00"/>
        <d v="2024-04-05T10:00:00"/>
        <d v="2024-04-05T10:10:00"/>
        <d v="2024-04-05T11:00:00"/>
        <d v="2024-04-05T12:00:00"/>
        <d v="2024-04-05T15:00:00"/>
        <d v="2024-04-05T16:00:00"/>
        <d v="2024-04-05T17:00:00"/>
        <d v="2024-04-06T09:30:00"/>
        <d v="2024-04-06T10:00:00"/>
        <d v="2024-04-06T12:00:00"/>
        <d v="2024-04-06T14:00:00"/>
        <d v="2024-04-08T09:30:00"/>
        <d v="2024-04-08T10:00:00"/>
        <d v="2024-04-08T10:30:00"/>
        <d v="2024-04-08T11:00:00"/>
        <d v="2024-04-08T12:00:00"/>
        <d v="2024-04-08T14:00:00"/>
        <d v="2024-04-08T16:00:00"/>
        <d v="2024-04-09T09:30:00"/>
        <d v="2024-04-09T10:00:00"/>
        <d v="2024-04-09T10:30:00"/>
        <d v="2024-04-09T11:00:00"/>
        <d v="2024-04-09T12:00:00"/>
        <d v="2024-04-09T14:00:00"/>
        <d v="2024-04-09T16:00:00"/>
        <d v="2024-04-09T17:00:00"/>
        <d v="2024-04-10T10:00:00"/>
        <d v="2024-04-10T10:30:00"/>
        <d v="2024-04-10T11:00:00"/>
        <d v="2024-04-10T12:00:00"/>
        <d v="2024-04-10T14:00:00"/>
        <d v="2024-04-10T14:15:00"/>
        <d v="2024-04-10T15:00:00"/>
        <d v="2024-04-10T16:00:00"/>
        <d v="2024-04-10T16:30:00"/>
        <d v="2024-04-10T17:00:00"/>
        <d v="2024-04-11T09:30:00"/>
        <d v="2024-04-11T10:00:00"/>
        <d v="2024-04-11T10:30:00"/>
        <d v="2024-04-11T12:00:00"/>
        <d v="2024-04-11T13:00:00"/>
        <d v="2024-04-11T14:00:00"/>
        <d v="2024-04-11T15:00:00"/>
        <d v="2024-04-11T16:00:00"/>
        <d v="2024-04-12T08:00:00"/>
        <d v="2024-04-12T10:00:00"/>
        <d v="2024-04-12T09:30:00"/>
        <d v="2024-04-12T12:30:00"/>
        <d v="2024-04-12T10:30:00"/>
        <d v="2024-04-12T12:00:00"/>
        <d v="2024-04-12T13:00:00"/>
        <d v="2024-04-12T14:00:00"/>
        <d v="2024-04-12T16:00:00"/>
        <d v="2024-04-12T17:00:00"/>
        <d v="2024-04-13T10:30:00"/>
        <d v="2024-04-13T09:00:00"/>
        <d v="2024-04-13T09:30:00"/>
        <d v="2024-04-13T10:00:00"/>
      </sharedItems>
      <fieldGroup par="10" base="6">
        <rangePr groupBy="minutes" startDate="2024-04-02T11:30:00" endDate="2024-04-13T10:30:00"/>
        <groupItems count="62">
          <s v="&lt;4/2/2024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4/13/2024"/>
        </groupItems>
      </fieldGroup>
    </cacheField>
    <cacheField name="Fecha2" numFmtId="0">
      <sharedItems/>
    </cacheField>
    <cacheField name="COSTE" numFmtId="0">
      <sharedItems containsNonDate="0" containsString="0" containsBlank="1"/>
    </cacheField>
    <cacheField name="Horas" numFmtId="0" databaseField="0">
      <fieldGroup base="6">
        <rangePr groupBy="hours" startDate="2024-04-02T11:30:00" endDate="2024-04-13T10:30:00"/>
        <groupItems count="26">
          <s v="&lt;4/2/2024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13/2024"/>
        </groupItems>
      </fieldGroup>
    </cacheField>
    <cacheField name="Días" numFmtId="0" databaseField="0">
      <fieldGroup base="6">
        <rangePr groupBy="days" startDate="2024-04-02T11:30:00" endDate="2024-04-13T10:30:00"/>
        <groupItems count="368">
          <s v="&lt;4/2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13/2024"/>
        </groupItems>
      </fieldGroup>
    </cacheField>
  </cacheFields>
  <extLst>
    <ext xmlns:x14="http://schemas.microsoft.com/office/spreadsheetml/2009/9/main" uri="{725AE2AE-9491-48be-B2B4-4EB974FC3084}">
      <x14:pivotCacheDefinition pivotCacheId="57345431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">
  <r>
    <x v="0"/>
    <x v="0"/>
    <x v="0"/>
    <x v="0"/>
    <n v="383986"/>
    <x v="0"/>
    <x v="0"/>
    <s v=""/>
    <m/>
  </r>
  <r>
    <x v="1"/>
    <x v="1"/>
    <x v="1"/>
    <x v="1"/>
    <n v="521"/>
    <x v="0"/>
    <x v="1"/>
    <s v=""/>
    <m/>
  </r>
  <r>
    <x v="1"/>
    <x v="1"/>
    <x v="2"/>
    <x v="1"/>
    <n v="464"/>
    <x v="0"/>
    <x v="1"/>
    <s v=""/>
    <m/>
  </r>
  <r>
    <x v="1"/>
    <x v="1"/>
    <x v="3"/>
    <x v="1"/>
    <n v="22036"/>
    <x v="0"/>
    <x v="1"/>
    <s v=""/>
    <m/>
  </r>
  <r>
    <x v="1"/>
    <x v="2"/>
    <x v="1"/>
    <x v="0"/>
    <n v="417"/>
    <x v="0"/>
    <x v="2"/>
    <s v=""/>
    <m/>
  </r>
  <r>
    <x v="1"/>
    <x v="2"/>
    <x v="4"/>
    <x v="0"/>
    <n v="83"/>
    <x v="0"/>
    <x v="2"/>
    <s v=""/>
    <m/>
  </r>
  <r>
    <x v="1"/>
    <x v="2"/>
    <x v="5"/>
    <x v="0"/>
    <n v="77"/>
    <x v="0"/>
    <x v="2"/>
    <s v=""/>
    <m/>
  </r>
  <r>
    <x v="1"/>
    <x v="2"/>
    <x v="6"/>
    <x v="0"/>
    <n v="61"/>
    <x v="0"/>
    <x v="2"/>
    <s v=""/>
    <m/>
  </r>
  <r>
    <x v="1"/>
    <x v="2"/>
    <x v="7"/>
    <x v="0"/>
    <n v="205"/>
    <x v="0"/>
    <x v="2"/>
    <s v=""/>
    <m/>
  </r>
  <r>
    <x v="1"/>
    <x v="2"/>
    <x v="2"/>
    <x v="0"/>
    <n v="196"/>
    <x v="0"/>
    <x v="2"/>
    <s v=""/>
    <m/>
  </r>
  <r>
    <x v="1"/>
    <x v="2"/>
    <x v="8"/>
    <x v="0"/>
    <n v="49"/>
    <x v="0"/>
    <x v="2"/>
    <s v=""/>
    <m/>
  </r>
  <r>
    <x v="1"/>
    <x v="2"/>
    <x v="9"/>
    <x v="0"/>
    <n v="99"/>
    <x v="0"/>
    <x v="2"/>
    <s v=""/>
    <m/>
  </r>
  <r>
    <x v="1"/>
    <x v="2"/>
    <x v="3"/>
    <x v="0"/>
    <n v="22611"/>
    <x v="0"/>
    <x v="2"/>
    <s v=""/>
    <m/>
  </r>
  <r>
    <x v="1"/>
    <x v="2"/>
    <x v="3"/>
    <x v="2"/>
    <n v="21318"/>
    <x v="0"/>
    <x v="2"/>
    <s v=""/>
    <m/>
  </r>
  <r>
    <x v="1"/>
    <x v="2"/>
    <x v="3"/>
    <x v="3"/>
    <n v="16234"/>
    <x v="0"/>
    <x v="2"/>
    <s v=""/>
    <m/>
  </r>
  <r>
    <x v="1"/>
    <x v="3"/>
    <x v="0"/>
    <x v="0"/>
    <n v="201052"/>
    <x v="0"/>
    <x v="3"/>
    <s v=""/>
    <m/>
  </r>
  <r>
    <x v="1"/>
    <x v="3"/>
    <x v="10"/>
    <x v="1"/>
    <n v="255"/>
    <x v="1"/>
    <x v="3"/>
    <s v=""/>
    <m/>
  </r>
  <r>
    <x v="1"/>
    <x v="4"/>
    <x v="3"/>
    <x v="1"/>
    <n v="21938"/>
    <x v="0"/>
    <x v="4"/>
    <s v=""/>
    <m/>
  </r>
  <r>
    <x v="2"/>
    <x v="5"/>
    <x v="0"/>
    <x v="0"/>
    <n v="267473"/>
    <x v="0"/>
    <x v="5"/>
    <s v=""/>
    <m/>
  </r>
  <r>
    <x v="2"/>
    <x v="5"/>
    <x v="1"/>
    <x v="0"/>
    <n v="2119"/>
    <x v="0"/>
    <x v="5"/>
    <s v=""/>
    <m/>
  </r>
  <r>
    <x v="2"/>
    <x v="5"/>
    <x v="4"/>
    <x v="0"/>
    <n v="95"/>
    <x v="0"/>
    <x v="5"/>
    <s v=""/>
    <m/>
  </r>
  <r>
    <x v="2"/>
    <x v="5"/>
    <x v="5"/>
    <x v="0"/>
    <n v="90"/>
    <x v="0"/>
    <x v="5"/>
    <s v=""/>
    <m/>
  </r>
  <r>
    <x v="2"/>
    <x v="5"/>
    <x v="6"/>
    <x v="0"/>
    <n v="77"/>
    <x v="0"/>
    <x v="5"/>
    <s v=""/>
    <m/>
  </r>
  <r>
    <x v="2"/>
    <x v="5"/>
    <x v="7"/>
    <x v="0"/>
    <n v="816"/>
    <x v="0"/>
    <x v="5"/>
    <s v=""/>
    <m/>
  </r>
  <r>
    <x v="2"/>
    <x v="5"/>
    <x v="2"/>
    <x v="0"/>
    <n v="251"/>
    <x v="0"/>
    <x v="5"/>
    <s v=""/>
    <m/>
  </r>
  <r>
    <x v="2"/>
    <x v="5"/>
    <x v="8"/>
    <x v="0"/>
    <n v="6576"/>
    <x v="0"/>
    <x v="5"/>
    <s v=""/>
    <m/>
  </r>
  <r>
    <x v="2"/>
    <x v="5"/>
    <x v="9"/>
    <x v="0"/>
    <n v="606"/>
    <x v="0"/>
    <x v="5"/>
    <s v=""/>
    <m/>
  </r>
  <r>
    <x v="2"/>
    <x v="5"/>
    <x v="3"/>
    <x v="0"/>
    <n v="21461"/>
    <x v="0"/>
    <x v="5"/>
    <s v=""/>
    <m/>
  </r>
  <r>
    <x v="2"/>
    <x v="5"/>
    <x v="3"/>
    <x v="2"/>
    <n v="20738"/>
    <x v="0"/>
    <x v="5"/>
    <s v=""/>
    <m/>
  </r>
  <r>
    <x v="2"/>
    <x v="6"/>
    <x v="3"/>
    <x v="1"/>
    <n v="21620"/>
    <x v="0"/>
    <x v="6"/>
    <s v=""/>
    <m/>
  </r>
  <r>
    <x v="2"/>
    <x v="2"/>
    <x v="1"/>
    <x v="1"/>
    <n v="2811"/>
    <x v="0"/>
    <x v="7"/>
    <s v=""/>
    <m/>
  </r>
  <r>
    <x v="2"/>
    <x v="2"/>
    <x v="4"/>
    <x v="1"/>
    <n v="162"/>
    <x v="0"/>
    <x v="7"/>
    <s v=""/>
    <m/>
  </r>
  <r>
    <x v="2"/>
    <x v="2"/>
    <x v="6"/>
    <x v="1"/>
    <n v="121"/>
    <x v="0"/>
    <x v="7"/>
    <s v=""/>
    <m/>
  </r>
  <r>
    <x v="2"/>
    <x v="2"/>
    <x v="7"/>
    <x v="1"/>
    <n v="877"/>
    <x v="0"/>
    <x v="7"/>
    <s v=""/>
    <m/>
  </r>
  <r>
    <x v="2"/>
    <x v="2"/>
    <x v="2"/>
    <x v="1"/>
    <n v="548"/>
    <x v="0"/>
    <x v="7"/>
    <s v=""/>
    <m/>
  </r>
  <r>
    <x v="2"/>
    <x v="2"/>
    <x v="8"/>
    <x v="1"/>
    <n v="6115"/>
    <x v="0"/>
    <x v="7"/>
    <s v=""/>
    <m/>
  </r>
  <r>
    <x v="2"/>
    <x v="2"/>
    <x v="9"/>
    <x v="1"/>
    <n v="654"/>
    <x v="0"/>
    <x v="7"/>
    <s v=""/>
    <m/>
  </r>
  <r>
    <x v="2"/>
    <x v="7"/>
    <x v="3"/>
    <x v="3"/>
    <n v="15928"/>
    <x v="0"/>
    <x v="8"/>
    <s v=""/>
    <m/>
  </r>
  <r>
    <x v="2"/>
    <x v="4"/>
    <x v="3"/>
    <x v="1"/>
    <n v="21506"/>
    <x v="0"/>
    <x v="9"/>
    <s v=""/>
    <m/>
  </r>
  <r>
    <x v="3"/>
    <x v="8"/>
    <x v="1"/>
    <x v="0"/>
    <n v="18354"/>
    <x v="0"/>
    <x v="10"/>
    <s v=""/>
    <m/>
  </r>
  <r>
    <x v="3"/>
    <x v="8"/>
    <x v="2"/>
    <x v="0"/>
    <n v="2717"/>
    <x v="0"/>
    <x v="10"/>
    <s v=""/>
    <m/>
  </r>
  <r>
    <x v="3"/>
    <x v="8"/>
    <x v="1"/>
    <x v="2"/>
    <n v="16802"/>
    <x v="0"/>
    <x v="10"/>
    <s v=""/>
    <m/>
  </r>
  <r>
    <x v="3"/>
    <x v="8"/>
    <x v="2"/>
    <x v="2"/>
    <n v="2476"/>
    <x v="0"/>
    <x v="10"/>
    <s v=""/>
    <m/>
  </r>
  <r>
    <x v="3"/>
    <x v="6"/>
    <x v="2"/>
    <x v="1"/>
    <n v="23733"/>
    <x v="0"/>
    <x v="11"/>
    <s v=""/>
    <m/>
  </r>
  <r>
    <x v="3"/>
    <x v="6"/>
    <x v="3"/>
    <x v="1"/>
    <n v="23733"/>
    <x v="0"/>
    <x v="11"/>
    <s v=""/>
    <m/>
  </r>
  <r>
    <x v="3"/>
    <x v="9"/>
    <x v="2"/>
    <x v="3"/>
    <n v="1602"/>
    <x v="0"/>
    <x v="12"/>
    <s v=""/>
    <m/>
  </r>
  <r>
    <x v="3"/>
    <x v="3"/>
    <x v="1"/>
    <x v="1"/>
    <n v="16589"/>
    <x v="0"/>
    <x v="13"/>
    <s v=""/>
    <m/>
  </r>
  <r>
    <x v="3"/>
    <x v="10"/>
    <x v="0"/>
    <x v="0"/>
    <n v="101346"/>
    <x v="0"/>
    <x v="14"/>
    <s v=""/>
    <m/>
  </r>
  <r>
    <x v="3"/>
    <x v="10"/>
    <x v="3"/>
    <x v="2"/>
    <n v="21063"/>
    <x v="0"/>
    <x v="14"/>
    <s v=""/>
    <m/>
  </r>
  <r>
    <x v="3"/>
    <x v="10"/>
    <x v="0"/>
    <x v="1"/>
    <n v="110856"/>
    <x v="0"/>
    <x v="14"/>
    <s v=""/>
    <m/>
  </r>
  <r>
    <x v="3"/>
    <x v="10"/>
    <x v="0"/>
    <x v="1"/>
    <n v="110856"/>
    <x v="0"/>
    <x v="14"/>
    <s v=""/>
    <m/>
  </r>
  <r>
    <x v="3"/>
    <x v="10"/>
    <x v="4"/>
    <x v="1"/>
    <n v="1574"/>
    <x v="0"/>
    <x v="14"/>
    <s v=""/>
    <m/>
  </r>
  <r>
    <x v="3"/>
    <x v="10"/>
    <x v="6"/>
    <x v="1"/>
    <n v="1120"/>
    <x v="0"/>
    <x v="14"/>
    <s v=""/>
    <m/>
  </r>
  <r>
    <x v="3"/>
    <x v="10"/>
    <x v="7"/>
    <x v="1"/>
    <n v="16890"/>
    <x v="0"/>
    <x v="14"/>
    <s v=""/>
    <m/>
  </r>
  <r>
    <x v="3"/>
    <x v="10"/>
    <x v="2"/>
    <x v="1"/>
    <n v="2387"/>
    <x v="0"/>
    <x v="14"/>
    <s v=""/>
    <m/>
  </r>
  <r>
    <x v="3"/>
    <x v="10"/>
    <x v="8"/>
    <x v="1"/>
    <n v="6456"/>
    <x v="0"/>
    <x v="14"/>
    <s v=""/>
    <m/>
  </r>
  <r>
    <x v="3"/>
    <x v="10"/>
    <x v="9"/>
    <x v="1"/>
    <n v="1617"/>
    <x v="0"/>
    <x v="14"/>
    <s v=""/>
    <m/>
  </r>
  <r>
    <x v="3"/>
    <x v="10"/>
    <x v="3"/>
    <x v="1"/>
    <n v="21345"/>
    <x v="0"/>
    <x v="14"/>
    <s v=""/>
    <m/>
  </r>
  <r>
    <x v="3"/>
    <x v="4"/>
    <x v="8"/>
    <x v="1"/>
    <n v="6421"/>
    <x v="0"/>
    <x v="15"/>
    <s v=""/>
    <m/>
  </r>
  <r>
    <x v="3"/>
    <x v="11"/>
    <x v="1"/>
    <x v="1"/>
    <n v="14231"/>
    <x v="0"/>
    <x v="16"/>
    <s v=""/>
    <m/>
  </r>
  <r>
    <x v="3"/>
    <x v="11"/>
    <x v="3"/>
    <x v="1"/>
    <n v="21221"/>
    <x v="0"/>
    <x v="16"/>
    <s v=""/>
    <m/>
  </r>
  <r>
    <x v="3"/>
    <x v="12"/>
    <x v="2"/>
    <x v="1"/>
    <n v="2269"/>
    <x v="0"/>
    <x v="17"/>
    <s v=""/>
    <m/>
  </r>
  <r>
    <x v="4"/>
    <x v="5"/>
    <x v="1"/>
    <x v="0"/>
    <n v="15604"/>
    <x v="0"/>
    <x v="18"/>
    <s v=""/>
    <m/>
  </r>
  <r>
    <x v="4"/>
    <x v="5"/>
    <x v="2"/>
    <x v="0"/>
    <n v="5998"/>
    <x v="0"/>
    <x v="18"/>
    <s v=""/>
    <m/>
  </r>
  <r>
    <x v="4"/>
    <x v="5"/>
    <x v="8"/>
    <x v="0"/>
    <n v="7473"/>
    <x v="0"/>
    <x v="18"/>
    <s v=""/>
    <m/>
  </r>
  <r>
    <x v="4"/>
    <x v="5"/>
    <x v="3"/>
    <x v="2"/>
    <n v="31516"/>
    <x v="0"/>
    <x v="18"/>
    <s v=""/>
    <m/>
  </r>
  <r>
    <x v="4"/>
    <x v="5"/>
    <x v="11"/>
    <x v="2"/>
    <n v="37953"/>
    <x v="0"/>
    <x v="18"/>
    <s v=""/>
    <m/>
  </r>
  <r>
    <x v="4"/>
    <x v="5"/>
    <x v="1"/>
    <x v="1"/>
    <n v="16663"/>
    <x v="0"/>
    <x v="18"/>
    <s v=""/>
    <m/>
  </r>
  <r>
    <x v="4"/>
    <x v="5"/>
    <x v="2"/>
    <x v="1"/>
    <n v="5411"/>
    <x v="0"/>
    <x v="18"/>
    <s v=""/>
    <m/>
  </r>
  <r>
    <x v="4"/>
    <x v="6"/>
    <x v="11"/>
    <x v="3"/>
    <n v="25931"/>
    <x v="0"/>
    <x v="19"/>
    <s v=""/>
    <m/>
  </r>
  <r>
    <x v="4"/>
    <x v="6"/>
    <x v="0"/>
    <x v="1"/>
    <n v="128792"/>
    <x v="0"/>
    <x v="19"/>
    <s v=""/>
    <m/>
  </r>
  <r>
    <x v="4"/>
    <x v="6"/>
    <x v="3"/>
    <x v="1"/>
    <n v="32556"/>
    <x v="0"/>
    <x v="19"/>
    <s v=""/>
    <m/>
  </r>
  <r>
    <x v="4"/>
    <x v="6"/>
    <x v="11"/>
    <x v="1"/>
    <n v="39139"/>
    <x v="0"/>
    <x v="19"/>
    <s v=""/>
    <m/>
  </r>
  <r>
    <x v="4"/>
    <x v="10"/>
    <x v="4"/>
    <x v="1"/>
    <n v="2150"/>
    <x v="0"/>
    <x v="20"/>
    <s v=""/>
    <m/>
  </r>
  <r>
    <x v="4"/>
    <x v="10"/>
    <x v="5"/>
    <x v="1"/>
    <n v="1999"/>
    <x v="0"/>
    <x v="20"/>
    <s v=""/>
    <m/>
  </r>
  <r>
    <x v="4"/>
    <x v="10"/>
    <x v="6"/>
    <x v="1"/>
    <n v="1847"/>
    <x v="0"/>
    <x v="20"/>
    <s v=""/>
    <m/>
  </r>
  <r>
    <x v="4"/>
    <x v="10"/>
    <x v="7"/>
    <x v="1"/>
    <n v="19448"/>
    <x v="0"/>
    <x v="20"/>
    <s v=""/>
    <m/>
  </r>
  <r>
    <x v="4"/>
    <x v="10"/>
    <x v="8"/>
    <x v="1"/>
    <n v="6725"/>
    <x v="0"/>
    <x v="20"/>
    <s v=""/>
    <m/>
  </r>
  <r>
    <x v="4"/>
    <x v="10"/>
    <x v="9"/>
    <x v="1"/>
    <n v="2033"/>
    <x v="0"/>
    <x v="20"/>
    <s v=""/>
    <m/>
  </r>
  <r>
    <x v="4"/>
    <x v="10"/>
    <x v="3"/>
    <x v="1"/>
    <n v="32556"/>
    <x v="0"/>
    <x v="20"/>
    <s v=""/>
    <m/>
  </r>
  <r>
    <x v="4"/>
    <x v="10"/>
    <x v="11"/>
    <x v="1"/>
    <n v="39139"/>
    <x v="0"/>
    <x v="20"/>
    <s v=""/>
    <m/>
  </r>
  <r>
    <x v="4"/>
    <x v="13"/>
    <x v="1"/>
    <x v="1"/>
    <n v="16444"/>
    <x v="0"/>
    <x v="21"/>
    <s v=""/>
    <m/>
  </r>
  <r>
    <x v="4"/>
    <x v="13"/>
    <x v="2"/>
    <x v="1"/>
    <n v="5461"/>
    <x v="0"/>
    <x v="21"/>
    <s v=""/>
    <m/>
  </r>
  <r>
    <x v="4"/>
    <x v="13"/>
    <x v="8"/>
    <x v="1"/>
    <n v="6725"/>
    <x v="0"/>
    <x v="21"/>
    <s v=""/>
    <m/>
  </r>
  <r>
    <x v="4"/>
    <x v="13"/>
    <x v="3"/>
    <x v="1"/>
    <n v="32556"/>
    <x v="0"/>
    <x v="21"/>
    <s v=""/>
    <m/>
  </r>
  <r>
    <x v="4"/>
    <x v="13"/>
    <x v="11"/>
    <x v="1"/>
    <n v="39139"/>
    <x v="0"/>
    <x v="21"/>
    <s v=""/>
    <m/>
  </r>
  <r>
    <x v="5"/>
    <x v="5"/>
    <x v="3"/>
    <x v="0"/>
    <n v="34078"/>
    <x v="0"/>
    <x v="22"/>
    <s v=""/>
    <m/>
  </r>
  <r>
    <x v="5"/>
    <x v="5"/>
    <x v="11"/>
    <x v="0"/>
    <n v="54471"/>
    <x v="0"/>
    <x v="22"/>
    <s v=""/>
    <m/>
  </r>
  <r>
    <x v="5"/>
    <x v="5"/>
    <x v="1"/>
    <x v="2"/>
    <n v="73242"/>
    <x v="0"/>
    <x v="22"/>
    <s v=""/>
    <m/>
  </r>
  <r>
    <x v="5"/>
    <x v="5"/>
    <x v="2"/>
    <x v="2"/>
    <n v="12945"/>
    <x v="0"/>
    <x v="22"/>
    <s v=""/>
    <m/>
  </r>
  <r>
    <x v="5"/>
    <x v="5"/>
    <x v="0"/>
    <x v="1"/>
    <n v="121031"/>
    <x v="0"/>
    <x v="22"/>
    <s v=""/>
    <m/>
  </r>
  <r>
    <x v="5"/>
    <x v="5"/>
    <x v="1"/>
    <x v="1"/>
    <n v="79239"/>
    <x v="0"/>
    <x v="22"/>
    <s v=""/>
    <m/>
  </r>
  <r>
    <x v="5"/>
    <x v="5"/>
    <x v="2"/>
    <x v="1"/>
    <n v="13135"/>
    <x v="0"/>
    <x v="22"/>
    <s v=""/>
    <m/>
  </r>
  <r>
    <x v="5"/>
    <x v="5"/>
    <x v="3"/>
    <x v="1"/>
    <n v="32275"/>
    <x v="0"/>
    <x v="22"/>
    <s v=""/>
    <m/>
  </r>
  <r>
    <x v="5"/>
    <x v="5"/>
    <x v="11"/>
    <x v="1"/>
    <n v="37208"/>
    <x v="0"/>
    <x v="22"/>
    <s v=""/>
    <m/>
  </r>
  <r>
    <x v="5"/>
    <x v="6"/>
    <x v="1"/>
    <x v="3"/>
    <n v="22709"/>
    <x v="0"/>
    <x v="23"/>
    <s v=""/>
    <m/>
  </r>
  <r>
    <x v="5"/>
    <x v="6"/>
    <x v="2"/>
    <x v="3"/>
    <n v="7294"/>
    <x v="0"/>
    <x v="23"/>
    <s v=""/>
    <m/>
  </r>
  <r>
    <x v="5"/>
    <x v="6"/>
    <x v="4"/>
    <x v="1"/>
    <n v="2765"/>
    <x v="0"/>
    <x v="23"/>
    <s v=""/>
    <m/>
  </r>
  <r>
    <x v="5"/>
    <x v="6"/>
    <x v="5"/>
    <x v="1"/>
    <n v="2769"/>
    <x v="0"/>
    <x v="23"/>
    <s v=""/>
    <m/>
  </r>
  <r>
    <x v="5"/>
    <x v="6"/>
    <x v="6"/>
    <x v="1"/>
    <n v="2815"/>
    <x v="0"/>
    <x v="23"/>
    <s v=""/>
    <m/>
  </r>
  <r>
    <x v="5"/>
    <x v="6"/>
    <x v="7"/>
    <x v="1"/>
    <n v="65130"/>
    <x v="0"/>
    <x v="23"/>
    <s v=""/>
    <m/>
  </r>
  <r>
    <x v="5"/>
    <x v="6"/>
    <x v="8"/>
    <x v="1"/>
    <n v="18679"/>
    <x v="0"/>
    <x v="23"/>
    <s v=""/>
    <m/>
  </r>
  <r>
    <x v="5"/>
    <x v="2"/>
    <x v="12"/>
    <x v="3"/>
    <n v="8426"/>
    <x v="2"/>
    <x v="24"/>
    <s v=""/>
    <m/>
  </r>
  <r>
    <x v="5"/>
    <x v="3"/>
    <x v="9"/>
    <x v="1"/>
    <n v="3453"/>
    <x v="0"/>
    <x v="25"/>
    <s v=""/>
    <m/>
  </r>
  <r>
    <x v="5"/>
    <x v="10"/>
    <x v="2"/>
    <x v="1"/>
    <n v="12752"/>
    <x v="0"/>
    <x v="26"/>
    <s v=""/>
    <m/>
  </r>
  <r>
    <x v="5"/>
    <x v="10"/>
    <x v="3"/>
    <x v="1"/>
    <n v="32197"/>
    <x v="0"/>
    <x v="26"/>
    <s v=""/>
    <m/>
  </r>
  <r>
    <x v="5"/>
    <x v="10"/>
    <x v="11"/>
    <x v="1"/>
    <n v="37047"/>
    <x v="0"/>
    <x v="26"/>
    <s v=""/>
    <m/>
  </r>
  <r>
    <x v="5"/>
    <x v="13"/>
    <x v="1"/>
    <x v="1"/>
    <n v="75284"/>
    <x v="0"/>
    <x v="27"/>
    <s v=""/>
    <m/>
  </r>
  <r>
    <x v="5"/>
    <x v="13"/>
    <x v="8"/>
    <x v="1"/>
    <n v="18625"/>
    <x v="0"/>
    <x v="27"/>
    <s v=""/>
    <m/>
  </r>
  <r>
    <x v="5"/>
    <x v="11"/>
    <x v="2"/>
    <x v="1"/>
    <n v="12310"/>
    <x v="0"/>
    <x v="28"/>
    <s v=""/>
    <m/>
  </r>
  <r>
    <x v="5"/>
    <x v="11"/>
    <x v="3"/>
    <x v="1"/>
    <n v="32142"/>
    <x v="0"/>
    <x v="28"/>
    <s v=""/>
    <m/>
  </r>
  <r>
    <x v="5"/>
    <x v="11"/>
    <x v="11"/>
    <x v="1"/>
    <n v="36926"/>
    <x v="0"/>
    <x v="28"/>
    <s v=""/>
    <m/>
  </r>
  <r>
    <x v="6"/>
    <x v="5"/>
    <x v="3"/>
    <x v="0"/>
    <n v="36451"/>
    <x v="0"/>
    <x v="29"/>
    <s v=""/>
    <m/>
  </r>
  <r>
    <x v="6"/>
    <x v="5"/>
    <x v="11"/>
    <x v="0"/>
    <n v="30670"/>
    <x v="0"/>
    <x v="29"/>
    <s v=""/>
    <m/>
  </r>
  <r>
    <x v="6"/>
    <x v="5"/>
    <x v="1"/>
    <x v="2"/>
    <n v="78192"/>
    <x v="0"/>
    <x v="29"/>
    <s v=""/>
    <m/>
  </r>
  <r>
    <x v="6"/>
    <x v="5"/>
    <x v="2"/>
    <x v="2"/>
    <n v="12816"/>
    <x v="0"/>
    <x v="29"/>
    <s v=""/>
    <m/>
  </r>
  <r>
    <x v="6"/>
    <x v="5"/>
    <x v="1"/>
    <x v="1"/>
    <n v="74727"/>
    <x v="0"/>
    <x v="29"/>
    <s v=""/>
    <m/>
  </r>
  <r>
    <x v="6"/>
    <x v="5"/>
    <x v="2"/>
    <x v="1"/>
    <n v="11259"/>
    <x v="0"/>
    <x v="29"/>
    <s v=""/>
    <m/>
  </r>
  <r>
    <x v="6"/>
    <x v="5"/>
    <x v="3"/>
    <x v="1"/>
    <n v="30074"/>
    <x v="0"/>
    <x v="29"/>
    <s v=""/>
    <m/>
  </r>
  <r>
    <x v="6"/>
    <x v="5"/>
    <x v="11"/>
    <x v="1"/>
    <n v="36708"/>
    <x v="0"/>
    <x v="29"/>
    <s v=""/>
    <m/>
  </r>
  <r>
    <x v="6"/>
    <x v="6"/>
    <x v="1"/>
    <x v="3"/>
    <n v="13788"/>
    <x v="0"/>
    <x v="30"/>
    <s v=""/>
    <m/>
  </r>
  <r>
    <x v="6"/>
    <x v="6"/>
    <x v="2"/>
    <x v="3"/>
    <n v="6283"/>
    <x v="0"/>
    <x v="30"/>
    <s v=""/>
    <m/>
  </r>
  <r>
    <x v="6"/>
    <x v="2"/>
    <x v="8"/>
    <x v="1"/>
    <n v="18508"/>
    <x v="0"/>
    <x v="31"/>
    <s v=""/>
    <m/>
  </r>
  <r>
    <x v="6"/>
    <x v="3"/>
    <x v="4"/>
    <x v="1"/>
    <n v="2764"/>
    <x v="0"/>
    <x v="32"/>
    <s v=""/>
    <m/>
  </r>
  <r>
    <x v="6"/>
    <x v="3"/>
    <x v="5"/>
    <x v="1"/>
    <n v="2767"/>
    <x v="0"/>
    <x v="32"/>
    <s v=""/>
    <m/>
  </r>
  <r>
    <x v="6"/>
    <x v="3"/>
    <x v="6"/>
    <x v="1"/>
    <n v="2815"/>
    <x v="0"/>
    <x v="32"/>
    <s v=""/>
    <m/>
  </r>
  <r>
    <x v="6"/>
    <x v="3"/>
    <x v="7"/>
    <x v="1"/>
    <n v="65105"/>
    <x v="0"/>
    <x v="32"/>
    <s v=""/>
    <m/>
  </r>
  <r>
    <x v="6"/>
    <x v="3"/>
    <x v="9"/>
    <x v="1"/>
    <n v="3441"/>
    <x v="0"/>
    <x v="32"/>
    <s v=""/>
    <m/>
  </r>
  <r>
    <x v="6"/>
    <x v="10"/>
    <x v="3"/>
    <x v="1"/>
    <n v="30018"/>
    <x v="0"/>
    <x v="33"/>
    <s v=""/>
    <m/>
  </r>
  <r>
    <x v="6"/>
    <x v="10"/>
    <x v="11"/>
    <x v="1"/>
    <n v="36549"/>
    <x v="0"/>
    <x v="33"/>
    <s v=""/>
    <m/>
  </r>
  <r>
    <x v="6"/>
    <x v="13"/>
    <x v="10"/>
    <x v="2"/>
    <n v="29"/>
    <x v="1"/>
    <x v="34"/>
    <s v=""/>
    <m/>
  </r>
  <r>
    <x v="6"/>
    <x v="13"/>
    <x v="10"/>
    <x v="1"/>
    <n v="235"/>
    <x v="1"/>
    <x v="34"/>
    <s v=""/>
    <m/>
  </r>
  <r>
    <x v="6"/>
    <x v="13"/>
    <x v="1"/>
    <x v="1"/>
    <n v="68224"/>
    <x v="0"/>
    <x v="34"/>
    <s v=""/>
    <m/>
  </r>
  <r>
    <x v="6"/>
    <x v="13"/>
    <x v="2"/>
    <x v="1"/>
    <n v="10868"/>
    <x v="0"/>
    <x v="34"/>
    <s v=""/>
    <m/>
  </r>
  <r>
    <x v="6"/>
    <x v="11"/>
    <x v="2"/>
    <x v="1"/>
    <n v="10648"/>
    <x v="0"/>
    <x v="35"/>
    <s v=""/>
    <m/>
  </r>
  <r>
    <x v="6"/>
    <x v="11"/>
    <x v="8"/>
    <x v="1"/>
    <n v="18269"/>
    <x v="0"/>
    <x v="35"/>
    <s v=""/>
    <m/>
  </r>
  <r>
    <x v="6"/>
    <x v="11"/>
    <x v="3"/>
    <x v="1"/>
    <n v="30013"/>
    <x v="0"/>
    <x v="35"/>
    <s v=""/>
    <m/>
  </r>
  <r>
    <x v="6"/>
    <x v="11"/>
    <x v="11"/>
    <x v="1"/>
    <n v="36371"/>
    <x v="0"/>
    <x v="35"/>
    <s v=""/>
    <m/>
  </r>
  <r>
    <x v="6"/>
    <x v="12"/>
    <x v="12"/>
    <x v="1"/>
    <n v="5562"/>
    <x v="2"/>
    <x v="36"/>
    <s v=""/>
    <m/>
  </r>
  <r>
    <x v="7"/>
    <x v="6"/>
    <x v="3"/>
    <x v="0"/>
    <n v="33760"/>
    <x v="0"/>
    <x v="37"/>
    <s v=""/>
    <m/>
  </r>
  <r>
    <x v="7"/>
    <x v="6"/>
    <x v="11"/>
    <x v="0"/>
    <n v="53640"/>
    <x v="0"/>
    <x v="37"/>
    <s v=""/>
    <m/>
  </r>
  <r>
    <x v="7"/>
    <x v="6"/>
    <x v="1"/>
    <x v="2"/>
    <n v="62615"/>
    <x v="0"/>
    <x v="37"/>
    <s v=""/>
    <m/>
  </r>
  <r>
    <x v="7"/>
    <x v="6"/>
    <x v="2"/>
    <x v="2"/>
    <n v="10005"/>
    <x v="0"/>
    <x v="37"/>
    <s v=""/>
    <m/>
  </r>
  <r>
    <x v="7"/>
    <x v="6"/>
    <x v="0"/>
    <x v="1"/>
    <n v="134040"/>
    <x v="0"/>
    <x v="37"/>
    <s v=""/>
    <m/>
  </r>
  <r>
    <x v="7"/>
    <x v="6"/>
    <x v="3"/>
    <x v="1"/>
    <n v="31557"/>
    <x v="0"/>
    <x v="37"/>
    <s v=""/>
    <m/>
  </r>
  <r>
    <x v="7"/>
    <x v="6"/>
    <x v="11"/>
    <x v="1"/>
    <n v="36891"/>
    <x v="0"/>
    <x v="37"/>
    <s v=""/>
    <m/>
  </r>
  <r>
    <x v="7"/>
    <x v="2"/>
    <x v="1"/>
    <x v="3"/>
    <n v="14723"/>
    <x v="0"/>
    <x v="38"/>
    <s v=""/>
    <m/>
  </r>
  <r>
    <x v="7"/>
    <x v="2"/>
    <x v="2"/>
    <x v="3"/>
    <n v="5719"/>
    <x v="0"/>
    <x v="38"/>
    <s v=""/>
    <m/>
  </r>
  <r>
    <x v="7"/>
    <x v="2"/>
    <x v="1"/>
    <x v="1"/>
    <n v="70536"/>
    <x v="0"/>
    <x v="38"/>
    <s v=""/>
    <m/>
  </r>
  <r>
    <x v="7"/>
    <x v="2"/>
    <x v="2"/>
    <x v="1"/>
    <n v="10470"/>
    <x v="0"/>
    <x v="38"/>
    <s v=""/>
    <m/>
  </r>
  <r>
    <x v="7"/>
    <x v="3"/>
    <x v="10"/>
    <x v="1"/>
    <n v="294"/>
    <x v="1"/>
    <x v="39"/>
    <s v=""/>
    <m/>
  </r>
  <r>
    <x v="7"/>
    <x v="10"/>
    <x v="10"/>
    <x v="0"/>
    <n v="296"/>
    <x v="1"/>
    <x v="40"/>
    <s v=""/>
    <m/>
  </r>
  <r>
    <x v="7"/>
    <x v="10"/>
    <x v="4"/>
    <x v="1"/>
    <n v="3357"/>
    <x v="0"/>
    <x v="40"/>
    <s v=""/>
    <m/>
  </r>
  <r>
    <x v="7"/>
    <x v="10"/>
    <x v="5"/>
    <x v="1"/>
    <n v="3483"/>
    <x v="0"/>
    <x v="40"/>
    <s v=""/>
    <m/>
  </r>
  <r>
    <x v="7"/>
    <x v="10"/>
    <x v="6"/>
    <x v="1"/>
    <n v="3712"/>
    <x v="0"/>
    <x v="40"/>
    <s v=""/>
    <m/>
  </r>
  <r>
    <x v="7"/>
    <x v="10"/>
    <x v="7"/>
    <x v="1"/>
    <n v="78079"/>
    <x v="0"/>
    <x v="40"/>
    <s v=""/>
    <m/>
  </r>
  <r>
    <x v="7"/>
    <x v="10"/>
    <x v="8"/>
    <x v="1"/>
    <n v="18164"/>
    <x v="0"/>
    <x v="40"/>
    <s v=""/>
    <m/>
  </r>
  <r>
    <x v="7"/>
    <x v="10"/>
    <x v="9"/>
    <x v="1"/>
    <n v="3674"/>
    <x v="0"/>
    <x v="40"/>
    <s v=""/>
    <m/>
  </r>
  <r>
    <x v="7"/>
    <x v="13"/>
    <x v="10"/>
    <x v="0"/>
    <n v="296"/>
    <x v="1"/>
    <x v="41"/>
    <s v=""/>
    <m/>
  </r>
  <r>
    <x v="7"/>
    <x v="13"/>
    <x v="10"/>
    <x v="1"/>
    <n v="260"/>
    <x v="1"/>
    <x v="41"/>
    <s v=""/>
    <m/>
  </r>
  <r>
    <x v="7"/>
    <x v="14"/>
    <x v="12"/>
    <x v="1"/>
    <n v="21656"/>
    <x v="2"/>
    <x v="42"/>
    <s v=""/>
    <m/>
  </r>
  <r>
    <x v="7"/>
    <x v="4"/>
    <x v="10"/>
    <x v="0"/>
    <n v="296"/>
    <x v="1"/>
    <x v="43"/>
    <s v=""/>
    <m/>
  </r>
  <r>
    <x v="7"/>
    <x v="11"/>
    <x v="1"/>
    <x v="1"/>
    <n v="65396"/>
    <x v="0"/>
    <x v="44"/>
    <s v=""/>
    <m/>
  </r>
  <r>
    <x v="7"/>
    <x v="11"/>
    <x v="8"/>
    <x v="1"/>
    <n v="18019"/>
    <x v="0"/>
    <x v="44"/>
    <s v=""/>
    <m/>
  </r>
  <r>
    <x v="7"/>
    <x v="11"/>
    <x v="3"/>
    <x v="1"/>
    <n v="31196"/>
    <x v="0"/>
    <x v="44"/>
    <s v=""/>
    <m/>
  </r>
  <r>
    <x v="7"/>
    <x v="11"/>
    <x v="11"/>
    <x v="1"/>
    <n v="36687"/>
    <x v="0"/>
    <x v="44"/>
    <s v=""/>
    <m/>
  </r>
  <r>
    <x v="7"/>
    <x v="15"/>
    <x v="12"/>
    <x v="1"/>
    <n v="21656"/>
    <x v="2"/>
    <x v="45"/>
    <s v=""/>
    <m/>
  </r>
  <r>
    <x v="7"/>
    <x v="12"/>
    <x v="2"/>
    <x v="1"/>
    <n v="10015"/>
    <x v="0"/>
    <x v="46"/>
    <s v=""/>
    <m/>
  </r>
  <r>
    <x v="8"/>
    <x v="5"/>
    <x v="3"/>
    <x v="1"/>
    <n v="27865"/>
    <x v="0"/>
    <x v="47"/>
    <s v=""/>
    <m/>
  </r>
  <r>
    <x v="8"/>
    <x v="5"/>
    <x v="11"/>
    <x v="1"/>
    <n v="35245"/>
    <x v="0"/>
    <x v="47"/>
    <s v=""/>
    <m/>
  </r>
  <r>
    <x v="8"/>
    <x v="6"/>
    <x v="3"/>
    <x v="0"/>
    <n v="33258"/>
    <x v="0"/>
    <x v="48"/>
    <s v=""/>
    <m/>
  </r>
  <r>
    <x v="8"/>
    <x v="6"/>
    <x v="11"/>
    <x v="0"/>
    <n v="53618"/>
    <x v="0"/>
    <x v="48"/>
    <s v=""/>
    <m/>
  </r>
  <r>
    <x v="8"/>
    <x v="6"/>
    <x v="1"/>
    <x v="2"/>
    <n v="55889"/>
    <x v="0"/>
    <x v="48"/>
    <s v=""/>
    <m/>
  </r>
  <r>
    <x v="8"/>
    <x v="6"/>
    <x v="2"/>
    <x v="2"/>
    <n v="9247"/>
    <x v="0"/>
    <x v="48"/>
    <s v=""/>
    <m/>
  </r>
  <r>
    <x v="8"/>
    <x v="6"/>
    <x v="2"/>
    <x v="1"/>
    <n v="8887"/>
    <x v="0"/>
    <x v="48"/>
    <s v=""/>
    <m/>
  </r>
  <r>
    <x v="8"/>
    <x v="2"/>
    <x v="1"/>
    <x v="1"/>
    <n v="55484"/>
    <x v="0"/>
    <x v="49"/>
    <s v=""/>
    <m/>
  </r>
  <r>
    <x v="8"/>
    <x v="10"/>
    <x v="10"/>
    <x v="0"/>
    <n v="296"/>
    <x v="1"/>
    <x v="50"/>
    <s v=""/>
    <m/>
  </r>
  <r>
    <x v="8"/>
    <x v="10"/>
    <x v="3"/>
    <x v="1"/>
    <n v="27785"/>
    <x v="0"/>
    <x v="50"/>
    <s v=""/>
    <m/>
  </r>
  <r>
    <x v="8"/>
    <x v="10"/>
    <x v="11"/>
    <x v="1"/>
    <n v="35172"/>
    <x v="0"/>
    <x v="50"/>
    <s v=""/>
    <m/>
  </r>
  <r>
    <x v="8"/>
    <x v="16"/>
    <x v="2"/>
    <x v="1"/>
    <n v="8745"/>
    <x v="0"/>
    <x v="51"/>
    <s v=""/>
    <m/>
  </r>
  <r>
    <x v="8"/>
    <x v="13"/>
    <x v="1"/>
    <x v="1"/>
    <n v="53025"/>
    <x v="0"/>
    <x v="52"/>
    <s v=""/>
    <m/>
  </r>
  <r>
    <x v="8"/>
    <x v="13"/>
    <x v="12"/>
    <x v="1"/>
    <n v="19485"/>
    <x v="2"/>
    <x v="52"/>
    <s v=""/>
    <m/>
  </r>
  <r>
    <x v="8"/>
    <x v="4"/>
    <x v="10"/>
    <x v="0"/>
    <n v="296"/>
    <x v="1"/>
    <x v="53"/>
    <s v=""/>
    <m/>
  </r>
  <r>
    <x v="8"/>
    <x v="11"/>
    <x v="3"/>
    <x v="1"/>
    <n v="27726"/>
    <x v="0"/>
    <x v="54"/>
    <s v=""/>
    <m/>
  </r>
  <r>
    <x v="8"/>
    <x v="11"/>
    <x v="11"/>
    <x v="1"/>
    <n v="35118"/>
    <x v="0"/>
    <x v="54"/>
    <s v=""/>
    <m/>
  </r>
  <r>
    <x v="8"/>
    <x v="11"/>
    <x v="1"/>
    <x v="1"/>
    <n v="52894"/>
    <x v="0"/>
    <x v="54"/>
    <s v=""/>
    <m/>
  </r>
  <r>
    <x v="8"/>
    <x v="11"/>
    <x v="2"/>
    <x v="1"/>
    <n v="8659"/>
    <x v="0"/>
    <x v="54"/>
    <s v=""/>
    <m/>
  </r>
  <r>
    <x v="9"/>
    <x v="17"/>
    <x v="0"/>
    <x v="1"/>
    <n v="25361"/>
    <x v="0"/>
    <x v="55"/>
    <s v=""/>
    <m/>
  </r>
  <r>
    <x v="9"/>
    <x v="6"/>
    <x v="0"/>
    <x v="0"/>
    <n v="499711"/>
    <x v="0"/>
    <x v="56"/>
    <s v=""/>
    <m/>
  </r>
  <r>
    <x v="9"/>
    <x v="6"/>
    <x v="1"/>
    <x v="2"/>
    <n v="58266"/>
    <x v="0"/>
    <x v="56"/>
    <s v=""/>
    <m/>
  </r>
  <r>
    <x v="9"/>
    <x v="6"/>
    <x v="2"/>
    <x v="2"/>
    <n v="8723"/>
    <x v="0"/>
    <x v="56"/>
    <s v=""/>
    <m/>
  </r>
  <r>
    <x v="9"/>
    <x v="5"/>
    <x v="3"/>
    <x v="1"/>
    <n v="27220"/>
    <x v="0"/>
    <x v="57"/>
    <s v=""/>
    <m/>
  </r>
  <r>
    <x v="9"/>
    <x v="6"/>
    <x v="3"/>
    <x v="0"/>
    <n v="30860"/>
    <x v="0"/>
    <x v="56"/>
    <s v=""/>
    <m/>
  </r>
  <r>
    <x v="9"/>
    <x v="6"/>
    <x v="11"/>
    <x v="0"/>
    <n v="49728"/>
    <x v="0"/>
    <x v="56"/>
    <s v=""/>
    <m/>
  </r>
  <r>
    <x v="9"/>
    <x v="5"/>
    <x v="11"/>
    <x v="1"/>
    <n v="34829"/>
    <x v="0"/>
    <x v="57"/>
    <s v=""/>
    <m/>
  </r>
  <r>
    <x v="9"/>
    <x v="18"/>
    <x v="2"/>
    <x v="3"/>
    <n v="1372"/>
    <x v="0"/>
    <x v="58"/>
    <s v=""/>
    <m/>
  </r>
  <r>
    <x v="9"/>
    <x v="6"/>
    <x v="2"/>
    <x v="1"/>
    <n v="8187"/>
    <x v="0"/>
    <x v="56"/>
    <s v=""/>
    <m/>
  </r>
  <r>
    <x v="9"/>
    <x v="2"/>
    <x v="1"/>
    <x v="1"/>
    <n v="68142"/>
    <x v="0"/>
    <x v="59"/>
    <s v=""/>
    <m/>
  </r>
  <r>
    <x v="9"/>
    <x v="10"/>
    <x v="3"/>
    <x v="1"/>
    <n v="27220"/>
    <x v="0"/>
    <x v="60"/>
    <s v=""/>
    <m/>
  </r>
  <r>
    <x v="9"/>
    <x v="10"/>
    <x v="11"/>
    <x v="1"/>
    <n v="34829"/>
    <x v="0"/>
    <x v="60"/>
    <s v=""/>
    <m/>
  </r>
  <r>
    <x v="9"/>
    <x v="16"/>
    <x v="2"/>
    <x v="1"/>
    <n v="8103"/>
    <x v="0"/>
    <x v="61"/>
    <s v=""/>
    <m/>
  </r>
  <r>
    <x v="9"/>
    <x v="13"/>
    <x v="1"/>
    <x v="1"/>
    <n v="62631"/>
    <x v="0"/>
    <x v="62"/>
    <s v=""/>
    <m/>
  </r>
  <r>
    <x v="9"/>
    <x v="11"/>
    <x v="1"/>
    <x v="1"/>
    <n v="60546"/>
    <x v="0"/>
    <x v="63"/>
    <s v=""/>
    <m/>
  </r>
  <r>
    <x v="9"/>
    <x v="11"/>
    <x v="3"/>
    <x v="1"/>
    <n v="27144"/>
    <x v="0"/>
    <x v="63"/>
    <s v=""/>
    <m/>
  </r>
  <r>
    <x v="9"/>
    <x v="11"/>
    <x v="11"/>
    <x v="1"/>
    <n v="34778"/>
    <x v="0"/>
    <x v="63"/>
    <s v=""/>
    <m/>
  </r>
  <r>
    <x v="9"/>
    <x v="12"/>
    <x v="2"/>
    <x v="1"/>
    <n v="8558"/>
    <x v="0"/>
    <x v="64"/>
    <s v=""/>
    <m/>
  </r>
  <r>
    <x v="10"/>
    <x v="2"/>
    <x v="10"/>
    <x v="0"/>
    <n v="296"/>
    <x v="1"/>
    <x v="65"/>
    <s v=""/>
    <m/>
  </r>
  <r>
    <x v="10"/>
    <x v="1"/>
    <x v="3"/>
    <x v="0"/>
    <n v="33040"/>
    <x v="0"/>
    <x v="66"/>
    <s v=""/>
    <m/>
  </r>
  <r>
    <x v="10"/>
    <x v="1"/>
    <x v="11"/>
    <x v="0"/>
    <n v="51835"/>
    <x v="0"/>
    <x v="66"/>
    <s v=""/>
    <m/>
  </r>
  <r>
    <x v="10"/>
    <x v="1"/>
    <x v="1"/>
    <x v="2"/>
    <n v="56142"/>
    <x v="0"/>
    <x v="66"/>
    <s v=""/>
    <m/>
  </r>
  <r>
    <x v="10"/>
    <x v="1"/>
    <x v="2"/>
    <x v="2"/>
    <n v="8398"/>
    <x v="0"/>
    <x v="66"/>
    <s v=""/>
    <m/>
  </r>
  <r>
    <x v="10"/>
    <x v="5"/>
    <x v="11"/>
    <x v="3"/>
    <n v="4810"/>
    <x v="0"/>
    <x v="67"/>
    <s v=""/>
    <m/>
  </r>
  <r>
    <x v="10"/>
    <x v="6"/>
    <x v="10"/>
    <x v="1"/>
    <n v="218"/>
    <x v="1"/>
    <x v="68"/>
    <s v=""/>
    <m/>
  </r>
  <r>
    <x v="10"/>
    <x v="6"/>
    <x v="1"/>
    <x v="1"/>
    <n v="56361"/>
    <x v="0"/>
    <x v="68"/>
    <s v=""/>
    <m/>
  </r>
  <r>
    <x v="10"/>
    <x v="6"/>
    <x v="4"/>
    <x v="1"/>
    <n v="2755"/>
    <x v="0"/>
    <x v="68"/>
    <s v=""/>
    <m/>
  </r>
  <r>
    <x v="10"/>
    <x v="6"/>
    <x v="6"/>
    <x v="1"/>
    <n v="2813"/>
    <x v="0"/>
    <x v="68"/>
    <s v=""/>
    <m/>
  </r>
  <r>
    <x v="10"/>
    <x v="6"/>
    <x v="7"/>
    <x v="1"/>
    <n v="64940"/>
    <x v="0"/>
    <x v="68"/>
    <s v=""/>
    <m/>
  </r>
  <r>
    <x v="10"/>
    <x v="6"/>
    <x v="2"/>
    <x v="1"/>
    <n v="7986"/>
    <x v="0"/>
    <x v="68"/>
    <s v=""/>
    <m/>
  </r>
  <r>
    <x v="10"/>
    <x v="6"/>
    <x v="8"/>
    <x v="1"/>
    <n v="17422"/>
    <x v="0"/>
    <x v="68"/>
    <s v=""/>
    <m/>
  </r>
  <r>
    <x v="10"/>
    <x v="6"/>
    <x v="9"/>
    <x v="1"/>
    <n v="3344"/>
    <x v="0"/>
    <x v="68"/>
    <s v=""/>
    <m/>
  </r>
  <r>
    <x v="10"/>
    <x v="5"/>
    <x v="3"/>
    <x v="1"/>
    <n v="27084"/>
    <x v="0"/>
    <x v="67"/>
    <s v=""/>
    <m/>
  </r>
  <r>
    <x v="10"/>
    <x v="5"/>
    <x v="11"/>
    <x v="1"/>
    <n v="34460"/>
    <x v="0"/>
    <x v="67"/>
    <s v="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F7ED6D-6287-4767-A571-F516FA3F9484}" name="PROCESO" cacheId="77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>
  <location ref="N1:P6" firstHeaderRow="0" firstDataRow="1" firstDataCol="1"/>
  <pivotFields count="11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5" showAll="0"/>
    <pivotField showAll="0"/>
    <pivotField axis="axisRow" showAll="0">
      <items count="11">
        <item m="1" x="9"/>
        <item x="0"/>
        <item x="2"/>
        <item m="1" x="6"/>
        <item x="3"/>
        <item x="1"/>
        <item m="1" x="8"/>
        <item m="1" x="5"/>
        <item m="1" x="4"/>
        <item m="1" x="7"/>
        <item t="default"/>
      </items>
    </pivotField>
    <pivotField dataField="1" showAll="0"/>
    <pivotField showAll="0"/>
    <pivotField numFmtId="22" showAll="0">
      <items count="63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0"/>
        <item x="61"/>
        <item t="default"/>
      </items>
    </pivotField>
    <pivotField showAll="0"/>
    <pivotField showAll="0"/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</pivotFields>
  <rowFields count="1">
    <field x="3"/>
  </rowFields>
  <rowItems count="5">
    <i>
      <x v="1"/>
    </i>
    <i>
      <x v="2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CANTIDAD" fld="4" baseField="0" baseItem="0" numFmtId="169"/>
    <dataField name="Suma de CANTIDAD2" fld="4" showDataAs="percentOfTotal" baseField="3" baseItem="2" numFmtId="10"/>
  </dataFields>
  <formats count="39">
    <format dxfId="490">
      <pivotArea type="all" dataOnly="0" outline="0" fieldPosition="0"/>
    </format>
    <format dxfId="491">
      <pivotArea outline="0" collapsedLevelsAreSubtotals="1" fieldPosition="0"/>
    </format>
    <format dxfId="492">
      <pivotArea field="3" type="button" dataOnly="0" labelOnly="1" outline="0" axis="axisRow" fieldPosition="0"/>
    </format>
    <format dxfId="493">
      <pivotArea dataOnly="0" labelOnly="1" fieldPosition="0">
        <references count="1">
          <reference field="3" count="0"/>
        </references>
      </pivotArea>
    </format>
    <format dxfId="494">
      <pivotArea dataOnly="0" labelOnly="1" grandRow="1" outline="0" fieldPosition="0"/>
    </format>
    <format dxfId="495">
      <pivotArea dataOnly="0" labelOnly="1" outline="0" axis="axisValues" fieldPosition="0"/>
    </format>
    <format dxfId="496">
      <pivotArea type="all" dataOnly="0" outline="0" fieldPosition="0"/>
    </format>
    <format dxfId="497">
      <pivotArea outline="0" collapsedLevelsAreSubtotals="1" fieldPosition="0"/>
    </format>
    <format dxfId="498">
      <pivotArea field="3" type="button" dataOnly="0" labelOnly="1" outline="0" axis="axisRow" fieldPosition="0"/>
    </format>
    <format dxfId="499">
      <pivotArea dataOnly="0" labelOnly="1" fieldPosition="0">
        <references count="1">
          <reference field="3" count="6">
            <x v="1"/>
            <x v="2"/>
            <x v="3"/>
            <x v="4"/>
            <x v="6"/>
            <x v="9"/>
          </reference>
        </references>
      </pivotArea>
    </format>
    <format dxfId="500">
      <pivotArea dataOnly="0" labelOnly="1" grandRow="1" outline="0" fieldPosition="0"/>
    </format>
    <format dxfId="501">
      <pivotArea dataOnly="0" labelOnly="1" outline="0" axis="axisValues" fieldPosition="0"/>
    </format>
    <format dxfId="502">
      <pivotArea type="all" dataOnly="0" outline="0" fieldPosition="0"/>
    </format>
    <format dxfId="503">
      <pivotArea outline="0" collapsedLevelsAreSubtotals="1" fieldPosition="0"/>
    </format>
    <format dxfId="504">
      <pivotArea field="3" type="button" dataOnly="0" labelOnly="1" outline="0" axis="axisRow" fieldPosition="0"/>
    </format>
    <format dxfId="505">
      <pivotArea dataOnly="0" labelOnly="1" fieldPosition="0">
        <references count="1">
          <reference field="3" count="1">
            <x v="4"/>
          </reference>
        </references>
      </pivotArea>
    </format>
    <format dxfId="506">
      <pivotArea dataOnly="0" labelOnly="1" grandRow="1" outline="0" fieldPosition="0"/>
    </format>
    <format dxfId="507">
      <pivotArea dataOnly="0" labelOnly="1" outline="0" axis="axisValues" fieldPosition="0"/>
    </format>
    <format dxfId="508">
      <pivotArea type="all" dataOnly="0" outline="0" fieldPosition="0"/>
    </format>
    <format dxfId="509">
      <pivotArea outline="0" collapsedLevelsAreSubtotals="1" fieldPosition="0"/>
    </format>
    <format dxfId="510">
      <pivotArea field="3" type="button" dataOnly="0" labelOnly="1" outline="0" axis="axisRow" fieldPosition="0"/>
    </format>
    <format dxfId="511">
      <pivotArea dataOnly="0" labelOnly="1" fieldPosition="0">
        <references count="1">
          <reference field="3" count="1">
            <x v="4"/>
          </reference>
        </references>
      </pivotArea>
    </format>
    <format dxfId="512">
      <pivotArea dataOnly="0" labelOnly="1" grandRow="1" outline="0" fieldPosition="0"/>
    </format>
    <format dxfId="513">
      <pivotArea dataOnly="0" labelOnly="1" outline="0" axis="axisValues" fieldPosition="0"/>
    </format>
    <format dxfId="514">
      <pivotArea type="all" dataOnly="0" outline="0" fieldPosition="0"/>
    </format>
    <format dxfId="515">
      <pivotArea outline="0" collapsedLevelsAreSubtotals="1" fieldPosition="0"/>
    </format>
    <format dxfId="516">
      <pivotArea field="3" type="button" dataOnly="0" labelOnly="1" outline="0" axis="axisRow" fieldPosition="0"/>
    </format>
    <format dxfId="517">
      <pivotArea dataOnly="0" labelOnly="1" fieldPosition="0">
        <references count="1">
          <reference field="3" count="0"/>
        </references>
      </pivotArea>
    </format>
    <format dxfId="518">
      <pivotArea dataOnly="0" labelOnly="1" grandRow="1" outline="0" fieldPosition="0"/>
    </format>
    <format dxfId="519">
      <pivotArea dataOnly="0" labelOnly="1" outline="0" axis="axisValues" fieldPosition="0"/>
    </format>
    <format dxfId="520">
      <pivotArea type="all" dataOnly="0" outline="0" fieldPosition="0"/>
    </format>
    <format dxfId="521">
      <pivotArea outline="0" collapsedLevelsAreSubtotals="1" fieldPosition="0"/>
    </format>
    <format dxfId="522">
      <pivotArea field="3" type="button" dataOnly="0" labelOnly="1" outline="0" axis="axisRow" fieldPosition="0"/>
    </format>
    <format dxfId="523">
      <pivotArea dataOnly="0" labelOnly="1" fieldPosition="0">
        <references count="1">
          <reference field="3" count="0"/>
        </references>
      </pivotArea>
    </format>
    <format dxfId="524">
      <pivotArea dataOnly="0" labelOnly="1" grandRow="1" outline="0" fieldPosition="0"/>
    </format>
    <format dxfId="525">
      <pivotArea dataOnly="0" labelOnly="1" outline="0" axis="axisValues" fieldPosition="0"/>
    </format>
    <format dxfId="526">
      <pivotArea outline="0" collapsedLevelsAreSubtotals="1" fieldPosition="0"/>
    </format>
    <format dxfId="527">
      <pivotArea dataOnly="0" labelOnly="1" outline="0" axis="axisValues" fieldPosition="0"/>
    </format>
    <format dxfId="528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Medium2" showRowHeaders="1" showColHeaders="1" showRowStripes="0" showColStripes="0" showLastColumn="1"/>
  <filters count="2">
    <filter fld="0" type="dateEqual" evalOrder="-1" id="1607" name="FECHA">
      <autoFilter ref="A1">
        <filterColumn colId="0">
          <customFilters>
            <customFilter val="4539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6" type="dateBetween" evalOrder="-1" id="1274" name="FECHA_HORA">
      <autoFilter ref="A1">
        <filterColumn colId="0">
          <customFilters and="1">
            <customFilter operator="greaterThanOrEqual" val="45383"/>
            <customFilter operator="lessThanOrEqual" val="454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C5A5BF-C7FE-41C5-8356-EC55F066F31D}" name="MENSUAL_FECHA" cacheId="77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1">
  <location ref="Z4:AA16" firstHeaderRow="1" firstDataRow="1" firstDataCol="1"/>
  <pivotFields count="11">
    <pivotField axis="axisRow" showAll="0">
      <items count="30">
        <item m="1" x="26"/>
        <item m="1" x="17"/>
        <item m="1" x="23"/>
        <item m="1" x="13"/>
        <item m="1" x="16"/>
        <item m="1" x="22"/>
        <item m="1" x="12"/>
        <item m="1" x="19"/>
        <item m="1" x="28"/>
        <item m="1" x="24"/>
        <item m="1" x="15"/>
        <item m="1" x="21"/>
        <item m="1" x="11"/>
        <item m="1" x="18"/>
        <item m="1" x="27"/>
        <item m="1" x="14"/>
        <item m="1" x="20"/>
        <item m="1" x="25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5" showAll="0"/>
    <pivotField showAll="0"/>
    <pivotField showAll="0">
      <items count="11">
        <item m="1" x="9"/>
        <item x="0"/>
        <item x="2"/>
        <item m="1" x="6"/>
        <item x="3"/>
        <item x="1"/>
        <item m="1" x="8"/>
        <item m="1" x="5"/>
        <item m="1" x="4"/>
        <item m="1" x="7"/>
        <item t="default"/>
      </items>
    </pivotField>
    <pivotField dataField="1" showAll="0"/>
    <pivotField showAll="0"/>
    <pivotField numFmtId="22" showAll="0">
      <items count="63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0"/>
        <item x="61"/>
        <item t="default"/>
      </items>
    </pivotField>
    <pivotField showAll="0"/>
    <pivotField showAll="0"/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</pivotFields>
  <rowFields count="1">
    <field x="0"/>
  </rowFields>
  <rowItems count="12"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Items count="1">
    <i/>
  </colItems>
  <dataFields count="1">
    <dataField name="Suma de CANTIDAD" fld="4" baseField="0" baseItem="0"/>
  </dataFields>
  <formats count="32">
    <format dxfId="650">
      <pivotArea type="all" dataOnly="0" outline="0" fieldPosition="0"/>
    </format>
    <format dxfId="649">
      <pivotArea outline="0" collapsedLevelsAreSubtotals="1" fieldPosition="0"/>
    </format>
    <format dxfId="648">
      <pivotArea field="3" type="button" dataOnly="0" labelOnly="1" outline="0"/>
    </format>
    <format dxfId="647">
      <pivotArea dataOnly="0" labelOnly="1" grandRow="1" outline="0" fieldPosition="0"/>
    </format>
    <format dxfId="646">
      <pivotArea dataOnly="0" labelOnly="1" outline="0" axis="axisValues" fieldPosition="0"/>
    </format>
    <format dxfId="645">
      <pivotArea type="all" dataOnly="0" outline="0" fieldPosition="0"/>
    </format>
    <format dxfId="644">
      <pivotArea outline="0" collapsedLevelsAreSubtotals="1" fieldPosition="0"/>
    </format>
    <format dxfId="643">
      <pivotArea field="3" type="button" dataOnly="0" labelOnly="1" outline="0"/>
    </format>
    <format dxfId="642">
      <pivotArea dataOnly="0" labelOnly="1" grandRow="1" outline="0" fieldPosition="0"/>
    </format>
    <format dxfId="641">
      <pivotArea dataOnly="0" labelOnly="1" outline="0" axis="axisValues" fieldPosition="0"/>
    </format>
    <format dxfId="640">
      <pivotArea type="all" dataOnly="0" outline="0" fieldPosition="0"/>
    </format>
    <format dxfId="639">
      <pivotArea outline="0" collapsedLevelsAreSubtotals="1" fieldPosition="0"/>
    </format>
    <format dxfId="638">
      <pivotArea field="3" type="button" dataOnly="0" labelOnly="1" outline="0"/>
    </format>
    <format dxfId="637">
      <pivotArea dataOnly="0" labelOnly="1" grandRow="1" outline="0" fieldPosition="0"/>
    </format>
    <format dxfId="636">
      <pivotArea dataOnly="0" labelOnly="1" outline="0" axis="axisValues" fieldPosition="0"/>
    </format>
    <format dxfId="635">
      <pivotArea type="all" dataOnly="0" outline="0" fieldPosition="0"/>
    </format>
    <format dxfId="634">
      <pivotArea outline="0" collapsedLevelsAreSubtotals="1" fieldPosition="0"/>
    </format>
    <format dxfId="633">
      <pivotArea field="3" type="button" dataOnly="0" labelOnly="1" outline="0"/>
    </format>
    <format dxfId="632">
      <pivotArea dataOnly="0" labelOnly="1" grandRow="1" outline="0" fieldPosition="0"/>
    </format>
    <format dxfId="631">
      <pivotArea dataOnly="0" labelOnly="1" outline="0" axis="axisValues" fieldPosition="0"/>
    </format>
    <format dxfId="630">
      <pivotArea type="all" dataOnly="0" outline="0" fieldPosition="0"/>
    </format>
    <format dxfId="629">
      <pivotArea outline="0" collapsedLevelsAreSubtotals="1" fieldPosition="0"/>
    </format>
    <format dxfId="628">
      <pivotArea field="0" type="button" dataOnly="0" labelOnly="1" outline="0" axis="axisRow" fieldPosition="0"/>
    </format>
    <format dxfId="627">
      <pivotArea dataOnly="0" labelOnly="1" fieldPosition="0">
        <references count="1">
          <reference field="0" count="1">
            <x v="28"/>
          </reference>
        </references>
      </pivotArea>
    </format>
    <format dxfId="626">
      <pivotArea dataOnly="0" labelOnly="1" grandRow="1" outline="0" fieldPosition="0"/>
    </format>
    <format dxfId="625">
      <pivotArea dataOnly="0" labelOnly="1" outline="0" axis="axisValues" fieldPosition="0"/>
    </format>
    <format dxfId="624">
      <pivotArea type="all" dataOnly="0" outline="0" fieldPosition="0"/>
    </format>
    <format dxfId="623">
      <pivotArea outline="0" collapsedLevelsAreSubtotals="1" fieldPosition="0"/>
    </format>
    <format dxfId="622">
      <pivotArea field="0" type="button" dataOnly="0" labelOnly="1" outline="0" axis="axisRow" fieldPosition="0"/>
    </format>
    <format dxfId="621">
      <pivotArea dataOnly="0" labelOnly="1" fieldPosition="0">
        <references count="1">
          <reference field="0" count="1">
            <x v="28"/>
          </reference>
        </references>
      </pivotArea>
    </format>
    <format dxfId="620">
      <pivotArea dataOnly="0" labelOnly="1" grandRow="1" outline="0" fieldPosition="0"/>
    </format>
    <format dxfId="619">
      <pivotArea dataOnly="0" labelOnly="1" outline="0" axis="axisValues" fieldPosition="0"/>
    </format>
  </formats>
  <pivotTableStyleInfo name="PivotStyleMedium2" showRowHeaders="1" showColHeaders="1" showRowStripes="0" showColStripes="0" showLastColumn="1"/>
  <filters count="1">
    <filter fld="6" type="dateBetween" evalOrder="-1" id="1286" name="FECHA_HORA">
      <autoFilter ref="A1">
        <filterColumn colId="0">
          <customFilters and="1">
            <customFilter operator="greaterThanOrEqual" val="45383"/>
            <customFilter operator="lessThanOrEqual" val="454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9E11B3-8460-4DDE-BB26-BF4875522B87}" name="MARCAS_DIA" cacheId="77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26">
  <location ref="K3:L12" firstHeaderRow="1" firstDataRow="1" firstDataCol="1"/>
  <pivotFields count="11">
    <pivotField showAll="0">
      <items count="30">
        <item m="1" x="26"/>
        <item m="1" x="17"/>
        <item m="1" x="23"/>
        <item m="1" x="13"/>
        <item m="1" x="16"/>
        <item m="1" x="22"/>
        <item m="1" x="12"/>
        <item m="1" x="19"/>
        <item m="1" x="28"/>
        <item m="1" x="24"/>
        <item m="1" x="15"/>
        <item m="1" x="21"/>
        <item m="1" x="11"/>
        <item m="1" x="18"/>
        <item m="1" x="27"/>
        <item m="1" x="14"/>
        <item m="1" x="20"/>
        <item m="1" x="25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numFmtId="165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15">
        <item x="0"/>
        <item x="10"/>
        <item x="1"/>
        <item x="4"/>
        <item x="5"/>
        <item x="6"/>
        <item x="7"/>
        <item x="2"/>
        <item x="8"/>
        <item x="9"/>
        <item x="3"/>
        <item m="1" x="13"/>
        <item x="11"/>
        <item x="12"/>
        <item t="default"/>
      </items>
    </pivotField>
    <pivotField axis="axisRow" showAll="0">
      <items count="11">
        <item m="1" x="9"/>
        <item x="0"/>
        <item x="2"/>
        <item m="1" x="6"/>
        <item x="3"/>
        <item x="1"/>
        <item m="1" x="8"/>
        <item m="1" x="5"/>
        <item m="1" x="4"/>
        <item m="1" x="7"/>
        <item t="default"/>
      </items>
    </pivotField>
    <pivotField dataField="1" showAll="0"/>
    <pivotField showAll="0"/>
    <pivotField numFmtId="22" showAll="0">
      <items count="63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0"/>
        <item x="61"/>
        <item t="default"/>
      </items>
    </pivotField>
    <pivotField showAll="0"/>
    <pivotField showAll="0"/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</pivotFields>
  <rowFields count="2">
    <field x="1"/>
    <field x="3"/>
  </rowFields>
  <rowItems count="9">
    <i>
      <x v="10"/>
    </i>
    <i r="1">
      <x v="1"/>
    </i>
    <i r="1">
      <x v="2"/>
    </i>
    <i r="1">
      <x v="4"/>
    </i>
    <i r="1">
      <x v="5"/>
    </i>
    <i>
      <x v="11"/>
    </i>
    <i r="1">
      <x v="1"/>
    </i>
    <i r="1">
      <x v="5"/>
    </i>
    <i t="grand">
      <x/>
    </i>
  </rowItems>
  <colItems count="1">
    <i/>
  </colItems>
  <dataFields count="1">
    <dataField name="Suma de CANTIDAD" fld="4" baseField="0" baseItem="0" numFmtId="169"/>
  </dataFields>
  <formats count="32">
    <format dxfId="529">
      <pivotArea type="all" dataOnly="0" outline="0" fieldPosition="0"/>
    </format>
    <format dxfId="530">
      <pivotArea outline="0" collapsedLevelsAreSubtotals="1" fieldPosition="0"/>
    </format>
    <format dxfId="531">
      <pivotArea field="3" type="button" dataOnly="0" labelOnly="1" outline="0" axis="axisRow" fieldPosition="1"/>
    </format>
    <format dxfId="532">
      <pivotArea dataOnly="0" labelOnly="1" grandRow="1" outline="0" fieldPosition="0"/>
    </format>
    <format dxfId="533">
      <pivotArea dataOnly="0" labelOnly="1" outline="0" axis="axisValues" fieldPosition="0"/>
    </format>
    <format dxfId="534">
      <pivotArea type="all" dataOnly="0" outline="0" fieldPosition="0"/>
    </format>
    <format dxfId="535">
      <pivotArea outline="0" collapsedLevelsAreSubtotals="1" fieldPosition="0"/>
    </format>
    <format dxfId="536">
      <pivotArea field="3" type="button" dataOnly="0" labelOnly="1" outline="0" axis="axisRow" fieldPosition="1"/>
    </format>
    <format dxfId="537">
      <pivotArea dataOnly="0" labelOnly="1" grandRow="1" outline="0" fieldPosition="0"/>
    </format>
    <format dxfId="538">
      <pivotArea dataOnly="0" labelOnly="1" outline="0" axis="axisValues" fieldPosition="0"/>
    </format>
    <format dxfId="539">
      <pivotArea type="all" dataOnly="0" outline="0" fieldPosition="0"/>
    </format>
    <format dxfId="540">
      <pivotArea outline="0" collapsedLevelsAreSubtotals="1" fieldPosition="0"/>
    </format>
    <format dxfId="541">
      <pivotArea field="3" type="button" dataOnly="0" labelOnly="1" outline="0" axis="axisRow" fieldPosition="1"/>
    </format>
    <format dxfId="542">
      <pivotArea dataOnly="0" labelOnly="1" grandRow="1" outline="0" fieldPosition="0"/>
    </format>
    <format dxfId="543">
      <pivotArea dataOnly="0" labelOnly="1" outline="0" axis="axisValues" fieldPosition="0"/>
    </format>
    <format dxfId="544">
      <pivotArea type="all" dataOnly="0" outline="0" fieldPosition="0"/>
    </format>
    <format dxfId="545">
      <pivotArea outline="0" collapsedLevelsAreSubtotals="1" fieldPosition="0"/>
    </format>
    <format dxfId="546">
      <pivotArea field="3" type="button" dataOnly="0" labelOnly="1" outline="0" axis="axisRow" fieldPosition="1"/>
    </format>
    <format dxfId="547">
      <pivotArea dataOnly="0" labelOnly="1" grandRow="1" outline="0" fieldPosition="0"/>
    </format>
    <format dxfId="548">
      <pivotArea dataOnly="0" labelOnly="1" outline="0" axis="axisValues" fieldPosition="0"/>
    </format>
    <format dxfId="549">
      <pivotArea type="all" dataOnly="0" outline="0" fieldPosition="0"/>
    </format>
    <format dxfId="550">
      <pivotArea outline="0" collapsedLevelsAreSubtotals="1" fieldPosition="0"/>
    </format>
    <format dxfId="551">
      <pivotArea field="2" type="button" dataOnly="0" labelOnly="1" outline="0"/>
    </format>
    <format dxfId="552">
      <pivotArea dataOnly="0" labelOnly="1" grandRow="1" outline="0" fieldPosition="0"/>
    </format>
    <format dxfId="553">
      <pivotArea dataOnly="0" labelOnly="1" outline="0" axis="axisValues" fieldPosition="0"/>
    </format>
    <format dxfId="554">
      <pivotArea type="all" dataOnly="0" outline="0" fieldPosition="0"/>
    </format>
    <format dxfId="555">
      <pivotArea outline="0" collapsedLevelsAreSubtotals="1" fieldPosition="0"/>
    </format>
    <format dxfId="556">
      <pivotArea field="2" type="button" dataOnly="0" labelOnly="1" outline="0"/>
    </format>
    <format dxfId="557">
      <pivotArea dataOnly="0" labelOnly="1" grandRow="1" outline="0" fieldPosition="0"/>
    </format>
    <format dxfId="558">
      <pivotArea dataOnly="0" labelOnly="1" outline="0" axis="axisValues" fieldPosition="0"/>
    </format>
    <format dxfId="559">
      <pivotArea outline="0" collapsedLevelsAreSubtotals="1" fieldPosition="0"/>
    </format>
    <format dxfId="560">
      <pivotArea dataOnly="0" labelOnly="1" outline="0" axis="axisValues" fieldPosition="0"/>
    </format>
  </formats>
  <chartFormats count="22"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3" count="1" selected="0">
            <x v="1"/>
          </reference>
        </references>
      </pivotArea>
    </chartFormat>
    <chartFormat chart="10" format="4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3" count="1" selected="0">
            <x v="1"/>
          </reference>
        </references>
      </pivotArea>
    </chartFormat>
    <chartFormat chart="10" format="5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3" count="1" selected="0">
            <x v="2"/>
          </reference>
        </references>
      </pivotArea>
    </chartFormat>
    <chartFormat chart="10" format="6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3" count="1" selected="0">
            <x v="5"/>
          </reference>
        </references>
      </pivotArea>
    </chartFormat>
    <chartFormat chart="10" format="7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3" count="1" selected="0">
            <x v="5"/>
          </reference>
        </references>
      </pivotArea>
    </chartFormat>
    <chartFormat chart="10" format="8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3" count="1" selected="0">
            <x v="5"/>
          </reference>
        </references>
      </pivotArea>
    </chartFormat>
    <chartFormat chart="10" format="9">
      <pivotArea type="data" outline="0" fieldPosition="0">
        <references count="3">
          <reference field="4294967294" count="1" selected="0">
            <x v="0"/>
          </reference>
          <reference field="1" count="1" selected="0">
            <x v="17"/>
          </reference>
          <reference field="3" count="1" selected="0">
            <x v="5"/>
          </reference>
        </references>
      </pivotArea>
    </chartFormat>
    <chartFormat chart="10" format="10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3" count="1" selected="0">
            <x v="5"/>
          </reference>
        </references>
      </pivotArea>
    </chartFormat>
    <chartFormat chart="10" format="1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3" count="1" selected="0">
            <x v="5"/>
          </reference>
        </references>
      </pivotArea>
    </chartFormat>
    <chartFormat chart="10" format="12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3" count="1" selected="0">
            <x v="2"/>
          </reference>
        </references>
      </pivotArea>
    </chartFormat>
    <chartFormat chart="10" format="13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3" count="1" selected="0">
            <x v="4"/>
          </reference>
        </references>
      </pivotArea>
    </chartFormat>
    <chartFormat chart="10" format="14">
      <pivotArea type="data" outline="0" fieldPosition="0">
        <references count="3">
          <reference field="4294967294" count="1" selected="0">
            <x v="0"/>
          </reference>
          <reference field="1" count="1" selected="0">
            <x v="18"/>
          </reference>
          <reference field="3" count="1" selected="0">
            <x v="5"/>
          </reference>
        </references>
      </pivotArea>
    </chartFormat>
    <chartFormat chart="10" format="15">
      <pivotArea type="data" outline="0" fieldPosition="0">
        <references count="3">
          <reference field="4294967294" count="1" selected="0">
            <x v="0"/>
          </reference>
          <reference field="1" count="1" selected="0">
            <x v="16"/>
          </reference>
          <reference field="3" count="1" selected="0">
            <x v="1"/>
          </reference>
        </references>
      </pivotArea>
    </chartFormat>
    <chartFormat chart="10" format="16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3" count="1" selected="0">
            <x v="4"/>
          </reference>
        </references>
      </pivotArea>
    </chartFormat>
    <chartFormat chart="10" format="17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3" count="1" selected="0">
            <x v="5"/>
          </reference>
        </references>
      </pivotArea>
    </chartFormat>
    <chartFormat chart="10" format="18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3" count="1" selected="0">
            <x v="2"/>
          </reference>
        </references>
      </pivotArea>
    </chartFormat>
    <chartFormat chart="10" format="19">
      <pivotArea type="data" outline="0" fieldPosition="0">
        <references count="3">
          <reference field="4294967294" count="1" selected="0">
            <x v="0"/>
          </reference>
          <reference field="1" count="1" selected="0">
            <x v="16"/>
          </reference>
          <reference field="3" count="1" selected="0">
            <x v="5"/>
          </reference>
        </references>
      </pivotArea>
    </chartFormat>
    <chartFormat chart="10" format="20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3" count="1" selected="0">
            <x v="5"/>
          </reference>
        </references>
      </pivotArea>
    </chartFormat>
    <chartFormat chart="10" format="2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3" count="1" selected="0">
            <x v="1"/>
          </reference>
        </references>
      </pivotArea>
    </chartFormat>
    <chartFormat chart="10" format="22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3" count="1" selected="0">
            <x v="1"/>
          </reference>
        </references>
      </pivotArea>
    </chartFormat>
    <chartFormat chart="10" format="23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3" count="1" selected="0">
            <x v="4"/>
          </reference>
        </references>
      </pivotArea>
    </chartFormat>
  </chartFormats>
  <pivotTableStyleInfo name="PivotStyleMedium2" showRowHeaders="1" showColHeaders="1" showRowStripes="0" showColStripes="0" showLastColumn="1"/>
  <filters count="2">
    <filter fld="0" type="dateEqual" evalOrder="-1" id="1610" name="FECHA">
      <autoFilter ref="A1">
        <filterColumn colId="0">
          <customFilters>
            <customFilter val="4539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6" type="dateBetween" evalOrder="-1" id="1274" name="FECHA_HORA">
      <autoFilter ref="A1">
        <filterColumn colId="0">
          <customFilters and="1">
            <customFilter operator="greaterThanOrEqual" val="45383"/>
            <customFilter operator="lessThanOrEqual" val="454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48D8ED-E4DF-420C-B3E4-E0818D9BBE93}" name="MARCAS_MENSUAL" cacheId="77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83">
  <location ref="R1:S15" firstHeaderRow="1" firstDataRow="1" firstDataCol="1"/>
  <pivotFields count="11">
    <pivotField showAll="0"/>
    <pivotField numFmtId="165" showAll="0"/>
    <pivotField axis="axisRow" showAll="0">
      <items count="15">
        <item x="0"/>
        <item x="10"/>
        <item x="1"/>
        <item x="4"/>
        <item x="5"/>
        <item x="6"/>
        <item x="7"/>
        <item x="2"/>
        <item x="8"/>
        <item x="9"/>
        <item x="12"/>
        <item x="3"/>
        <item x="11"/>
        <item m="1" x="13"/>
        <item t="default"/>
      </items>
    </pivotField>
    <pivotField showAll="0">
      <items count="11">
        <item m="1" x="9"/>
        <item x="0"/>
        <item x="2"/>
        <item m="1" x="6"/>
        <item x="3"/>
        <item x="1"/>
        <item m="1" x="8"/>
        <item m="1" x="5"/>
        <item m="1" x="4"/>
        <item m="1" x="7"/>
        <item t="default"/>
      </items>
    </pivotField>
    <pivotField dataField="1" showAll="0"/>
    <pivotField showAll="0"/>
    <pivotField numFmtId="22" showAll="0">
      <items count="63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0"/>
        <item x="61"/>
        <item t="default"/>
      </items>
    </pivotField>
    <pivotField showAll="0"/>
    <pivotField showAll="0"/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</pivotFields>
  <rowFields count="1">
    <field x="2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a de CANTIDAD" fld="4" baseField="0" baseItem="0" numFmtId="169"/>
  </dataFields>
  <formats count="57">
    <format dxfId="707">
      <pivotArea type="all" dataOnly="0" outline="0" fieldPosition="0"/>
    </format>
    <format dxfId="706">
      <pivotArea outline="0" collapsedLevelsAreSubtotals="1" fieldPosition="0"/>
    </format>
    <format dxfId="705">
      <pivotArea type="origin" dataOnly="0" labelOnly="1" outline="0" fieldPosition="0"/>
    </format>
    <format dxfId="704">
      <pivotArea field="3" type="button" dataOnly="0" labelOnly="1" outline="0"/>
    </format>
    <format dxfId="703">
      <pivotArea type="topRight" dataOnly="0" labelOnly="1" outline="0" fieldPosition="0"/>
    </format>
    <format dxfId="702">
      <pivotArea field="9" type="button" dataOnly="0" labelOnly="1" outline="0"/>
    </format>
    <format dxfId="701">
      <pivotArea dataOnly="0" labelOnly="1" grandRow="1" outline="0" fieldPosition="0"/>
    </format>
    <format dxfId="700">
      <pivotArea dataOnly="0" labelOnly="1" grandCol="1" outline="0" fieldPosition="0"/>
    </format>
    <format dxfId="699">
      <pivotArea type="all" dataOnly="0" outline="0" fieldPosition="0"/>
    </format>
    <format dxfId="698">
      <pivotArea outline="0" collapsedLevelsAreSubtotals="1" fieldPosition="0"/>
    </format>
    <format dxfId="697">
      <pivotArea type="origin" dataOnly="0" labelOnly="1" outline="0" fieldPosition="0"/>
    </format>
    <format dxfId="696">
      <pivotArea field="3" type="button" dataOnly="0" labelOnly="1" outline="0"/>
    </format>
    <format dxfId="695">
      <pivotArea type="topRight" dataOnly="0" labelOnly="1" outline="0" fieldPosition="0"/>
    </format>
    <format dxfId="694">
      <pivotArea field="9" type="button" dataOnly="0" labelOnly="1" outline="0"/>
    </format>
    <format dxfId="693">
      <pivotArea dataOnly="0" labelOnly="1" grandRow="1" outline="0" fieldPosition="0"/>
    </format>
    <format dxfId="692">
      <pivotArea dataOnly="0" labelOnly="1" grandCol="1" outline="0" fieldPosition="0"/>
    </format>
    <format dxfId="691">
      <pivotArea type="all" dataOnly="0" outline="0" fieldPosition="0"/>
    </format>
    <format dxfId="690">
      <pivotArea outline="0" collapsedLevelsAreSubtotals="1" fieldPosition="0"/>
    </format>
    <format dxfId="689">
      <pivotArea field="3" type="button" dataOnly="0" labelOnly="1" outline="0"/>
    </format>
    <format dxfId="688">
      <pivotArea type="topRight" dataOnly="0" labelOnly="1" outline="0" fieldPosition="0"/>
    </format>
    <format dxfId="687">
      <pivotArea dataOnly="0" labelOnly="1" grandCol="1" outline="0" fieldPosition="0"/>
    </format>
    <format dxfId="686">
      <pivotArea outline="0" collapsedLevelsAreSubtotals="1" fieldPosition="0"/>
    </format>
    <format dxfId="685">
      <pivotArea field="3" type="button" dataOnly="0" labelOnly="1" outline="0"/>
    </format>
    <format dxfId="684">
      <pivotArea type="topRight" dataOnly="0" labelOnly="1" outline="0" fieldPosition="0"/>
    </format>
    <format dxfId="683">
      <pivotArea dataOnly="0" labelOnly="1" grandCol="1" outline="0" fieldPosition="0"/>
    </format>
    <format dxfId="682">
      <pivotArea type="all" dataOnly="0" outline="0" fieldPosition="0"/>
    </format>
    <format dxfId="681">
      <pivotArea outline="0" collapsedLevelsAreSubtotals="1" fieldPosition="0"/>
    </format>
    <format dxfId="680">
      <pivotArea type="origin" dataOnly="0" labelOnly="1" outline="0" fieldPosition="0"/>
    </format>
    <format dxfId="679">
      <pivotArea field="3" type="button" dataOnly="0" labelOnly="1" outline="0"/>
    </format>
    <format dxfId="678">
      <pivotArea type="topRight" dataOnly="0" labelOnly="1" outline="0" fieldPosition="0"/>
    </format>
    <format dxfId="677">
      <pivotArea field="9" type="button" dataOnly="0" labelOnly="1" outline="0"/>
    </format>
    <format dxfId="676">
      <pivotArea dataOnly="0" labelOnly="1" grandRow="1" outline="0" fieldPosition="0"/>
    </format>
    <format dxfId="675">
      <pivotArea dataOnly="0" labelOnly="1" grandCol="1" outline="0" fieldPosition="0"/>
    </format>
    <format dxfId="674">
      <pivotArea type="all" dataOnly="0" outline="0" fieldPosition="0"/>
    </format>
    <format dxfId="673">
      <pivotArea outline="0" collapsedLevelsAreSubtotals="1" fieldPosition="0"/>
    </format>
    <format dxfId="672">
      <pivotArea type="origin" dataOnly="0" labelOnly="1" outline="0" fieldPosition="0"/>
    </format>
    <format dxfId="671">
      <pivotArea field="3" type="button" dataOnly="0" labelOnly="1" outline="0"/>
    </format>
    <format dxfId="670">
      <pivotArea type="topRight" dataOnly="0" labelOnly="1" outline="0" fieldPosition="0"/>
    </format>
    <format dxfId="669">
      <pivotArea field="9" type="button" dataOnly="0" labelOnly="1" outline="0"/>
    </format>
    <format dxfId="668">
      <pivotArea dataOnly="0" labelOnly="1" grandRow="1" outline="0" fieldPosition="0"/>
    </format>
    <format dxfId="667">
      <pivotArea dataOnly="0" labelOnly="1" grandCol="1" outline="0" fieldPosition="0"/>
    </format>
    <format dxfId="666">
      <pivotArea type="all" dataOnly="0" outline="0" fieldPosition="0"/>
    </format>
    <format dxfId="665">
      <pivotArea outline="0" collapsedLevelsAreSubtotals="1" fieldPosition="0"/>
    </format>
    <format dxfId="664">
      <pivotArea type="origin" dataOnly="0" labelOnly="1" outline="0" fieldPosition="0"/>
    </format>
    <format dxfId="663">
      <pivotArea field="3" type="button" dataOnly="0" labelOnly="1" outline="0"/>
    </format>
    <format dxfId="662">
      <pivotArea type="topRight" dataOnly="0" labelOnly="1" outline="0" fieldPosition="0"/>
    </format>
    <format dxfId="661">
      <pivotArea field="9" type="button" dataOnly="0" labelOnly="1" outline="0"/>
    </format>
    <format dxfId="660">
      <pivotArea dataOnly="0" labelOnly="1" grandRow="1" outline="0" fieldPosition="0"/>
    </format>
    <format dxfId="659">
      <pivotArea dataOnly="0" labelOnly="1" grandCol="1" outline="0" fieldPosition="0"/>
    </format>
    <format dxfId="658">
      <pivotArea type="all" dataOnly="0" outline="0" fieldPosition="0"/>
    </format>
    <format dxfId="657">
      <pivotArea outline="0" collapsedLevelsAreSubtotals="1" fieldPosition="0"/>
    </format>
    <format dxfId="656">
      <pivotArea type="origin" dataOnly="0" labelOnly="1" outline="0" fieldPosition="0"/>
    </format>
    <format dxfId="655">
      <pivotArea field="3" type="button" dataOnly="0" labelOnly="1" outline="0"/>
    </format>
    <format dxfId="654">
      <pivotArea type="topRight" dataOnly="0" labelOnly="1" outline="0" fieldPosition="0"/>
    </format>
    <format dxfId="653">
      <pivotArea field="9" type="button" dataOnly="0" labelOnly="1" outline="0"/>
    </format>
    <format dxfId="652">
      <pivotArea dataOnly="0" labelOnly="1" grandRow="1" outline="0" fieldPosition="0"/>
    </format>
    <format dxfId="651">
      <pivotArea dataOnly="0" labelOnly="1" grandCol="1" outline="0" fieldPosition="0"/>
    </format>
  </formats>
  <chartFormats count="2">
    <chartFormat chart="80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2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filters count="1">
    <filter fld="6" type="dateBetween" evalOrder="-1" id="1341" name="FECHA_HORA">
      <autoFilter ref="A1">
        <filterColumn colId="0">
          <customFilters and="1">
            <customFilter operator="greaterThanOrEqual" val="45383"/>
            <customFilter operator="lessThanOrEqual" val="454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ADF5F6-B8D8-4390-B5AB-E8128A3EEEB2}" name="PORCENTUAL_PROCESO" cacheId="77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11">
  <location ref="AC1:AE6" firstHeaderRow="0" firstDataRow="1" firstDataCol="1"/>
  <pivotFields count="11">
    <pivotField showAll="0">
      <items count="30">
        <item m="1" x="26"/>
        <item m="1" x="17"/>
        <item m="1" x="23"/>
        <item m="1" x="13"/>
        <item m="1" x="16"/>
        <item m="1" x="22"/>
        <item m="1" x="12"/>
        <item m="1" x="19"/>
        <item m="1" x="28"/>
        <item m="1" x="24"/>
        <item m="1" x="15"/>
        <item m="1" x="21"/>
        <item m="1" x="11"/>
        <item m="1" x="18"/>
        <item m="1" x="27"/>
        <item m="1" x="14"/>
        <item m="1" x="20"/>
        <item m="1" x="25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5" showAll="0"/>
    <pivotField showAll="0">
      <items count="15">
        <item x="0"/>
        <item x="10"/>
        <item x="1"/>
        <item x="4"/>
        <item x="5"/>
        <item x="6"/>
        <item x="7"/>
        <item x="2"/>
        <item x="8"/>
        <item x="9"/>
        <item x="3"/>
        <item m="1" x="13"/>
        <item x="11"/>
        <item x="12"/>
        <item t="default"/>
      </items>
    </pivotField>
    <pivotField axis="axisRow" showAll="0">
      <items count="11">
        <item m="1" x="9"/>
        <item x="0"/>
        <item x="2"/>
        <item m="1" x="6"/>
        <item x="3"/>
        <item x="1"/>
        <item m="1" x="8"/>
        <item m="1" x="5"/>
        <item m="1" x="4"/>
        <item m="1" x="7"/>
        <item t="default"/>
      </items>
    </pivotField>
    <pivotField dataField="1" showAll="0"/>
    <pivotField showAll="0"/>
    <pivotField numFmtId="22" showAll="0">
      <items count="63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0"/>
        <item x="61"/>
        <item t="default"/>
      </items>
    </pivotField>
    <pivotField showAll="0"/>
    <pivotField showAll="0"/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</pivotFields>
  <rowFields count="1">
    <field x="3"/>
  </rowFields>
  <rowItems count="5">
    <i>
      <x v="1"/>
    </i>
    <i>
      <x v="2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CANTIDAD" fld="4" baseField="0" baseItem="0"/>
    <dataField name="Suma de CANTIDAD2" fld="4" showDataAs="percentOfTotal" baseField="3" baseItem="1" numFmtId="10"/>
  </dataFields>
  <formats count="33">
    <format dxfId="425">
      <pivotArea type="all" dataOnly="0" outline="0" fieldPosition="0"/>
    </format>
    <format dxfId="426">
      <pivotArea outline="0" collapsedLevelsAreSubtotals="1" fieldPosition="0"/>
    </format>
    <format dxfId="427">
      <pivotArea field="3" type="button" dataOnly="0" labelOnly="1" outline="0" axis="axisRow" fieldPosition="0"/>
    </format>
    <format dxfId="428">
      <pivotArea dataOnly="0" labelOnly="1" grandRow="1" outline="0" fieldPosition="0"/>
    </format>
    <format dxfId="429">
      <pivotArea dataOnly="0" labelOnly="1" outline="0" axis="axisValues" fieldPosition="0"/>
    </format>
    <format dxfId="430">
      <pivotArea type="all" dataOnly="0" outline="0" fieldPosition="0"/>
    </format>
    <format dxfId="431">
      <pivotArea outline="0" collapsedLevelsAreSubtotals="1" fieldPosition="0"/>
    </format>
    <format dxfId="432">
      <pivotArea field="3" type="button" dataOnly="0" labelOnly="1" outline="0" axis="axisRow" fieldPosition="0"/>
    </format>
    <format dxfId="433">
      <pivotArea dataOnly="0" labelOnly="1" grandRow="1" outline="0" fieldPosition="0"/>
    </format>
    <format dxfId="434">
      <pivotArea dataOnly="0" labelOnly="1" outline="0" axis="axisValues" fieldPosition="0"/>
    </format>
    <format dxfId="435">
      <pivotArea type="all" dataOnly="0" outline="0" fieldPosition="0"/>
    </format>
    <format dxfId="436">
      <pivotArea outline="0" collapsedLevelsAreSubtotals="1" fieldPosition="0"/>
    </format>
    <format dxfId="437">
      <pivotArea field="3" type="button" dataOnly="0" labelOnly="1" outline="0" axis="axisRow" fieldPosition="0"/>
    </format>
    <format dxfId="438">
      <pivotArea dataOnly="0" labelOnly="1" grandRow="1" outline="0" fieldPosition="0"/>
    </format>
    <format dxfId="439">
      <pivotArea dataOnly="0" labelOnly="1" outline="0" axis="axisValues" fieldPosition="0"/>
    </format>
    <format dxfId="440">
      <pivotArea type="all" dataOnly="0" outline="0" fieldPosition="0"/>
    </format>
    <format dxfId="441">
      <pivotArea outline="0" collapsedLevelsAreSubtotals="1" fieldPosition="0"/>
    </format>
    <format dxfId="442">
      <pivotArea field="3" type="button" dataOnly="0" labelOnly="1" outline="0" axis="axisRow" fieldPosition="0"/>
    </format>
    <format dxfId="443">
      <pivotArea dataOnly="0" labelOnly="1" grandRow="1" outline="0" fieldPosition="0"/>
    </format>
    <format dxfId="444">
      <pivotArea dataOnly="0" labelOnly="1" outline="0" axis="axisValues" fieldPosition="0"/>
    </format>
    <format dxfId="445">
      <pivotArea type="all" dataOnly="0" outline="0" fieldPosition="0"/>
    </format>
    <format dxfId="446">
      <pivotArea outline="0" collapsedLevelsAreSubtotals="1" fieldPosition="0"/>
    </format>
    <format dxfId="447">
      <pivotArea field="2" type="button" dataOnly="0" labelOnly="1" outline="0"/>
    </format>
    <format dxfId="448">
      <pivotArea dataOnly="0" labelOnly="1" grandRow="1" outline="0" fieldPosition="0"/>
    </format>
    <format dxfId="449">
      <pivotArea dataOnly="0" labelOnly="1" outline="0" axis="axisValues" fieldPosition="0"/>
    </format>
    <format dxfId="450">
      <pivotArea type="all" dataOnly="0" outline="0" fieldPosition="0"/>
    </format>
    <format dxfId="451">
      <pivotArea outline="0" collapsedLevelsAreSubtotals="1" fieldPosition="0"/>
    </format>
    <format dxfId="452">
      <pivotArea field="2" type="button" dataOnly="0" labelOnly="1" outline="0"/>
    </format>
    <format dxfId="453">
      <pivotArea dataOnly="0" labelOnly="1" grandRow="1" outline="0" fieldPosition="0"/>
    </format>
    <format dxfId="454">
      <pivotArea dataOnly="0" labelOnly="1" outline="0" axis="axisValues" fieldPosition="0"/>
    </format>
    <format dxfId="455">
      <pivotArea outline="0" collapsedLevelsAreSubtotals="1" fieldPosition="0"/>
    </format>
    <format dxfId="456">
      <pivotArea dataOnly="0" labelOnly="1" outline="0" axis="axisValues" fieldPosition="0"/>
    </format>
    <format dxfId="457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Medium2" showRowHeaders="1" showColHeaders="1" showRowStripes="0" showColStripes="0" showLastColumn="1"/>
  <filters count="2">
    <filter fld="0" type="dateEqual" evalOrder="-1" id="1616" name="FECHA">
      <autoFilter ref="A1">
        <filterColumn colId="0">
          <customFilters>
            <customFilter val="4539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6" type="dateBetween" evalOrder="-1" id="1500" name="FECHA_HORA">
      <autoFilter ref="A1">
        <filterColumn colId="0">
          <customFilters and="1">
            <customFilter operator="greaterThanOrEqual" val="45383"/>
            <customFilter operator="lessThanOrEqual" val="454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339937-CFA4-4A69-9864-17A251DAB1BA}" name="TablaDinámica9" cacheId="77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11">
  <location ref="U1:V12" firstHeaderRow="1" firstDataRow="1" firstDataCol="1"/>
  <pivotFields count="11">
    <pivotField showAll="0">
      <items count="30">
        <item m="1" x="26"/>
        <item m="1" x="17"/>
        <item m="1" x="23"/>
        <item m="1" x="13"/>
        <item m="1" x="16"/>
        <item m="1" x="22"/>
        <item m="1" x="12"/>
        <item m="1" x="19"/>
        <item m="1" x="28"/>
        <item m="1" x="24"/>
        <item m="1" x="15"/>
        <item m="1" x="21"/>
        <item m="1" x="11"/>
        <item m="1" x="18"/>
        <item m="1" x="27"/>
        <item m="1" x="14"/>
        <item m="1" x="20"/>
        <item m="1" x="25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5" showAll="0"/>
    <pivotField axis="axisRow" showAll="0">
      <items count="15">
        <item x="0"/>
        <item x="10"/>
        <item x="1"/>
        <item x="4"/>
        <item x="5"/>
        <item x="6"/>
        <item x="7"/>
        <item x="2"/>
        <item x="8"/>
        <item x="9"/>
        <item x="3"/>
        <item m="1" x="13"/>
        <item x="11"/>
        <item x="12"/>
        <item t="default"/>
      </items>
    </pivotField>
    <pivotField showAll="0">
      <items count="11">
        <item m="1" x="9"/>
        <item x="0"/>
        <item x="2"/>
        <item m="1" x="6"/>
        <item x="3"/>
        <item x="1"/>
        <item m="1" x="8"/>
        <item m="1" x="5"/>
        <item m="1" x="4"/>
        <item m="1" x="7"/>
        <item t="default"/>
      </items>
    </pivotField>
    <pivotField dataField="1" showAll="0"/>
    <pivotField showAll="0"/>
    <pivotField numFmtId="22" showAll="0">
      <items count="63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0"/>
        <item x="61"/>
        <item t="default"/>
      </items>
    </pivotField>
    <pivotField showAll="0"/>
    <pivotField showAll="0"/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</pivotFields>
  <rowFields count="1">
    <field x="2"/>
  </rowFields>
  <rowItems count="11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Items count="1">
    <i/>
  </colItems>
  <dataFields count="1">
    <dataField name="Suma de CANTIDAD" fld="4" baseField="0" baseItem="0" numFmtId="169"/>
  </dataFields>
  <formats count="32">
    <format dxfId="458">
      <pivotArea type="all" dataOnly="0" outline="0" fieldPosition="0"/>
    </format>
    <format dxfId="459">
      <pivotArea outline="0" collapsedLevelsAreSubtotals="1" fieldPosition="0"/>
    </format>
    <format dxfId="460">
      <pivotArea field="3" type="button" dataOnly="0" labelOnly="1" outline="0"/>
    </format>
    <format dxfId="461">
      <pivotArea dataOnly="0" labelOnly="1" grandRow="1" outline="0" fieldPosition="0"/>
    </format>
    <format dxfId="462">
      <pivotArea dataOnly="0" labelOnly="1" outline="0" axis="axisValues" fieldPosition="0"/>
    </format>
    <format dxfId="463">
      <pivotArea type="all" dataOnly="0" outline="0" fieldPosition="0"/>
    </format>
    <format dxfId="464">
      <pivotArea outline="0" collapsedLevelsAreSubtotals="1" fieldPosition="0"/>
    </format>
    <format dxfId="465">
      <pivotArea field="3" type="button" dataOnly="0" labelOnly="1" outline="0"/>
    </format>
    <format dxfId="466">
      <pivotArea dataOnly="0" labelOnly="1" grandRow="1" outline="0" fieldPosition="0"/>
    </format>
    <format dxfId="467">
      <pivotArea dataOnly="0" labelOnly="1" outline="0" axis="axisValues" fieldPosition="0"/>
    </format>
    <format dxfId="468">
      <pivotArea type="all" dataOnly="0" outline="0" fieldPosition="0"/>
    </format>
    <format dxfId="469">
      <pivotArea outline="0" collapsedLevelsAreSubtotals="1" fieldPosition="0"/>
    </format>
    <format dxfId="470">
      <pivotArea field="3" type="button" dataOnly="0" labelOnly="1" outline="0"/>
    </format>
    <format dxfId="471">
      <pivotArea dataOnly="0" labelOnly="1" grandRow="1" outline="0" fieldPosition="0"/>
    </format>
    <format dxfId="472">
      <pivotArea dataOnly="0" labelOnly="1" outline="0" axis="axisValues" fieldPosition="0"/>
    </format>
    <format dxfId="473">
      <pivotArea type="all" dataOnly="0" outline="0" fieldPosition="0"/>
    </format>
    <format dxfId="474">
      <pivotArea outline="0" collapsedLevelsAreSubtotals="1" fieldPosition="0"/>
    </format>
    <format dxfId="475">
      <pivotArea field="3" type="button" dataOnly="0" labelOnly="1" outline="0"/>
    </format>
    <format dxfId="476">
      <pivotArea dataOnly="0" labelOnly="1" grandRow="1" outline="0" fieldPosition="0"/>
    </format>
    <format dxfId="477">
      <pivotArea dataOnly="0" labelOnly="1" outline="0" axis="axisValues" fieldPosition="0"/>
    </format>
    <format dxfId="478">
      <pivotArea type="all" dataOnly="0" outline="0" fieldPosition="0"/>
    </format>
    <format dxfId="479">
      <pivotArea outline="0" collapsedLevelsAreSubtotals="1" fieldPosition="0"/>
    </format>
    <format dxfId="480">
      <pivotArea field="2" type="button" dataOnly="0" labelOnly="1" outline="0" axis="axisRow" fieldPosition="0"/>
    </format>
    <format dxfId="481">
      <pivotArea dataOnly="0" labelOnly="1" grandRow="1" outline="0" fieldPosition="0"/>
    </format>
    <format dxfId="482">
      <pivotArea dataOnly="0" labelOnly="1" outline="0" axis="axisValues" fieldPosition="0"/>
    </format>
    <format dxfId="483">
      <pivotArea type="all" dataOnly="0" outline="0" fieldPosition="0"/>
    </format>
    <format dxfId="484">
      <pivotArea outline="0" collapsedLevelsAreSubtotals="1" fieldPosition="0"/>
    </format>
    <format dxfId="485">
      <pivotArea field="2" type="button" dataOnly="0" labelOnly="1" outline="0" axis="axisRow" fieldPosition="0"/>
    </format>
    <format dxfId="486">
      <pivotArea dataOnly="0" labelOnly="1" grandRow="1" outline="0" fieldPosition="0"/>
    </format>
    <format dxfId="487">
      <pivotArea dataOnly="0" labelOnly="1" outline="0" axis="axisValues" fieldPosition="0"/>
    </format>
    <format dxfId="488">
      <pivotArea outline="0" collapsedLevelsAreSubtotals="1" fieldPosition="0"/>
    </format>
    <format dxfId="489">
      <pivotArea dataOnly="0" labelOnly="1" outline="0" axis="axisValues" fieldPosition="0"/>
    </format>
  </formats>
  <chartFormats count="1"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filters count="2">
    <filter fld="0" type="dateEqual" evalOrder="-1" id="1610" name="FECHA">
      <autoFilter ref="A1">
        <filterColumn colId="0">
          <customFilters>
            <customFilter val="4539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6" type="dateBetween" evalOrder="-1" id="1274" name="FECHA_HORA">
      <autoFilter ref="A1">
        <filterColumn colId="0">
          <customFilters and="1">
            <customFilter operator="greaterThanOrEqual" val="45383"/>
            <customFilter operator="lessThanOrEqual" val="454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61BF50-67D7-4E5D-902F-1ACDC4C6BA43}" name="PROCESOS_HORA" cacheId="77" applyNumberFormats="0" applyBorderFormats="0" applyFontFormats="0" applyPatternFormats="0" applyAlignmentFormats="0" applyWidthHeightFormats="1" dataCaption="Valores" updatedVersion="7" minRefreshableVersion="5" itemPrintTitles="1" createdVersion="7" indent="0" outline="1" outlineData="1" multipleFieldFilters="0" chartFormat="7" rowHeaderCaption="Proceso - Recurso">
  <location ref="Q8:S21" firstHeaderRow="0" firstDataRow="1" firstDataCol="1"/>
  <pivotFields count="11">
    <pivotField numFmtId="14" showAll="0">
      <items count="30">
        <item m="1" x="26"/>
        <item m="1" x="17"/>
        <item m="1" x="23"/>
        <item m="1" x="13"/>
        <item m="1" x="16"/>
        <item m="1" x="22"/>
        <item m="1" x="12"/>
        <item m="1" x="19"/>
        <item m="1" x="28"/>
        <item m="1" x="24"/>
        <item m="1" x="15"/>
        <item m="1" x="21"/>
        <item m="1" x="11"/>
        <item m="1" x="18"/>
        <item m="1" x="27"/>
        <item m="1" x="14"/>
        <item m="1" x="20"/>
        <item m="1" x="25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umFmtId="167" showAll="0"/>
    <pivotField showAll="0">
      <items count="15">
        <item x="0"/>
        <item x="10"/>
        <item x="1"/>
        <item x="4"/>
        <item x="5"/>
        <item x="6"/>
        <item x="7"/>
        <item x="2"/>
        <item x="8"/>
        <item x="9"/>
        <item x="12"/>
        <item x="3"/>
        <item x="11"/>
        <item m="1" x="13"/>
        <item t="default"/>
      </items>
    </pivotField>
    <pivotField axis="axisRow" showAll="0">
      <items count="11">
        <item m="1" x="7"/>
        <item m="1" x="9"/>
        <item x="0"/>
        <item m="1" x="5"/>
        <item x="2"/>
        <item x="3"/>
        <item m="1" x="6"/>
        <item x="1"/>
        <item m="1" x="8"/>
        <item m="1" x="4"/>
        <item t="default"/>
      </items>
    </pivotField>
    <pivotField dataField="1" numFmtId="168" showAll="0"/>
    <pivotField showAll="0">
      <items count="16">
        <item m="1" x="8"/>
        <item m="1" x="13"/>
        <item m="1" x="6"/>
        <item m="1" x="10"/>
        <item m="1" x="12"/>
        <item m="1" x="14"/>
        <item m="1" x="11"/>
        <item m="1" x="3"/>
        <item m="1" x="7"/>
        <item m="1" x="9"/>
        <item m="1" x="5"/>
        <item m="1" x="4"/>
        <item x="0"/>
        <item x="1"/>
        <item x="2"/>
        <item t="default"/>
      </items>
    </pivotField>
    <pivotField axis="axisRow" numFmtId="166" showAll="0">
      <items count="63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0"/>
        <item x="61"/>
        <item t="default"/>
      </items>
    </pivotField>
    <pivotField showAll="0"/>
    <pivotField showAll="0"/>
    <pivotField axis="axisRow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showAll="0" defaultSubtotal="0">
      <items count="368"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 count="3">
    <field x="9"/>
    <field x="6"/>
    <field x="3"/>
  </rowFields>
  <rowItems count="13">
    <i>
      <x v="10"/>
    </i>
    <i r="1">
      <x/>
    </i>
    <i r="2">
      <x v="2"/>
    </i>
    <i r="2">
      <x v="4"/>
    </i>
    <i r="1">
      <x v="30"/>
    </i>
    <i r="2">
      <x v="5"/>
    </i>
    <i r="2">
      <x v="7"/>
    </i>
    <i>
      <x v="11"/>
    </i>
    <i r="1">
      <x/>
    </i>
    <i r="2">
      <x v="7"/>
    </i>
    <i r="1">
      <x v="30"/>
    </i>
    <i r="2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Registros" fld="4" baseField="0" baseItem="0" numFmtId="169"/>
    <dataField name="%" fld="4" showDataAs="percentOfTotal" baseField="9" baseItem="0" numFmtId="172"/>
  </dataFields>
  <formats count="51">
    <format dxfId="374">
      <pivotArea outline="0" collapsedLevelsAreSubtotals="1" fieldPosition="0"/>
    </format>
    <format dxfId="375">
      <pivotArea type="all" dataOnly="0" outline="0" fieldPosition="0"/>
    </format>
    <format dxfId="376">
      <pivotArea outline="0" collapsedLevelsAreSubtotals="1" fieldPosition="0"/>
    </format>
    <format dxfId="377">
      <pivotArea field="5" type="button" dataOnly="0" labelOnly="1" outline="0"/>
    </format>
    <format dxfId="378">
      <pivotArea dataOnly="0" labelOnly="1" grandRow="1" outline="0" fieldPosition="0"/>
    </format>
    <format dxfId="379">
      <pivotArea dataOnly="0" labelOnly="1" outline="0" axis="axisValues" fieldPosition="0"/>
    </format>
    <format dxfId="380">
      <pivotArea type="all" dataOnly="0" outline="0" fieldPosition="0"/>
    </format>
    <format dxfId="381">
      <pivotArea outline="0" collapsedLevelsAreSubtotals="1" fieldPosition="0"/>
    </format>
    <format dxfId="382">
      <pivotArea field="5" type="button" dataOnly="0" labelOnly="1" outline="0"/>
    </format>
    <format dxfId="383">
      <pivotArea dataOnly="0" labelOnly="1" grandRow="1" outline="0" fieldPosition="0"/>
    </format>
    <format dxfId="384">
      <pivotArea dataOnly="0" labelOnly="1" outline="0" axis="axisValues" fieldPosition="0"/>
    </format>
    <format dxfId="385">
      <pivotArea type="all" dataOnly="0" outline="0" fieldPosition="0"/>
    </format>
    <format dxfId="386">
      <pivotArea outline="0" collapsedLevelsAreSubtotals="1" fieldPosition="0"/>
    </format>
    <format dxfId="387">
      <pivotArea field="5" type="button" dataOnly="0" labelOnly="1" outline="0"/>
    </format>
    <format dxfId="388">
      <pivotArea dataOnly="0" labelOnly="1" grandRow="1" outline="0" fieldPosition="0"/>
    </format>
    <format dxfId="389">
      <pivotArea dataOnly="0" labelOnly="1" outline="0" axis="axisValues" fieldPosition="0"/>
    </format>
    <format dxfId="390">
      <pivotArea type="all" dataOnly="0" outline="0" fieldPosition="0"/>
    </format>
    <format dxfId="391">
      <pivotArea outline="0" collapsedLevelsAreSubtotals="1" fieldPosition="0"/>
    </format>
    <format dxfId="392">
      <pivotArea field="5" type="button" dataOnly="0" labelOnly="1" outline="0"/>
    </format>
    <format dxfId="393">
      <pivotArea dataOnly="0" labelOnly="1" grandRow="1" outline="0" fieldPosition="0"/>
    </format>
    <format dxfId="394">
      <pivotArea dataOnly="0" labelOnly="1" outline="0" axis="axisValues" fieldPosition="0"/>
    </format>
    <format dxfId="395">
      <pivotArea type="all" dataOnly="0" outline="0" fieldPosition="0"/>
    </format>
    <format dxfId="396">
      <pivotArea outline="0" collapsedLevelsAreSubtotals="1" fieldPosition="0"/>
    </format>
    <format dxfId="397">
      <pivotArea field="10" type="button" dataOnly="0" labelOnly="1" outline="0"/>
    </format>
    <format dxfId="398">
      <pivotArea dataOnly="0" labelOnly="1" grandRow="1" outline="0" fieldPosition="0"/>
    </format>
    <format dxfId="399">
      <pivotArea dataOnly="0" labelOnly="1" outline="0" axis="axisValues" fieldPosition="0"/>
    </format>
    <format dxfId="400">
      <pivotArea type="all" dataOnly="0" outline="0" fieldPosition="0"/>
    </format>
    <format dxfId="401">
      <pivotArea outline="0" collapsedLevelsAreSubtotals="1" fieldPosition="0"/>
    </format>
    <format dxfId="402">
      <pivotArea field="10" type="button" dataOnly="0" labelOnly="1" outline="0"/>
    </format>
    <format dxfId="403">
      <pivotArea dataOnly="0" labelOnly="1" grandRow="1" outline="0" fieldPosition="0"/>
    </format>
    <format dxfId="404">
      <pivotArea dataOnly="0" labelOnly="1" outline="0" axis="axisValues" fieldPosition="0"/>
    </format>
    <format dxfId="405">
      <pivotArea field="10" type="button" dataOnly="0" labelOnly="1" outline="0"/>
    </format>
    <format dxfId="406">
      <pivotArea dataOnly="0" labelOnly="1" outline="0" axis="axisValues" fieldPosition="0"/>
    </format>
    <format dxfId="407">
      <pivotArea field="9" type="button" dataOnly="0" labelOnly="1" outline="0" axis="axisRow" fieldPosition="0"/>
    </format>
    <format dxfId="408">
      <pivotArea dataOnly="0" labelOnly="1" outline="0" axis="axisValues" fieldPosition="0"/>
    </format>
    <format dxfId="409">
      <pivotArea outline="0" fieldPosition="0">
        <references count="1">
          <reference field="4294967294" count="1">
            <x v="1"/>
          </reference>
        </references>
      </pivotArea>
    </format>
    <format dxfId="4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1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1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13">
      <pivotArea field="9" type="button" dataOnly="0" labelOnly="1" outline="0" axis="axisRow" fieldPosition="0"/>
    </format>
    <format dxfId="41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15">
      <pivotArea field="9" type="button" dataOnly="0" labelOnly="1" outline="0" axis="axisRow" fieldPosition="0"/>
    </format>
    <format dxfId="4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17">
      <pivotArea field="9" type="button" dataOnly="0" labelOnly="1" outline="0" axis="axisRow" fieldPosition="0"/>
    </format>
    <format dxfId="4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21">
      <pivotArea field="9" type="button" dataOnly="0" labelOnly="1" outline="0" axis="axisRow" fieldPosition="0"/>
    </format>
    <format dxfId="4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23">
      <pivotArea field="9" type="button" dataOnly="0" labelOnly="1" outline="0" axis="axisRow" fieldPosition="0"/>
    </format>
    <format dxfId="4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2 2 2 2 2" showRowHeaders="1" showColHeaders="1" showRowStripes="0" showColStripes="0" showLastColumn="1"/>
  <filters count="1">
    <filter fld="0" type="dateEqual" evalOrder="-1" id="1473" name="FECHA">
      <autoFilter ref="A1">
        <filterColumn colId="0">
          <customFilters>
            <customFilter val="4539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E99D27-7527-4FB4-92AC-0574775C5EC2}" name="TABLE_MONTH" cacheId="77" applyNumberFormats="0" applyBorderFormats="0" applyFontFormats="0" applyPatternFormats="0" applyAlignmentFormats="0" applyWidthHeightFormats="1" dataCaption="Valores" updatedVersion="7" minRefreshableVersion="5" itemPrintTitles="1" createdVersion="7" indent="0" showHeaders="0" outline="1" outlineData="1" multipleFieldFilters="0" chartFormat="15" rowHeaderCaption="PROCESO" colHeaderCaption="CAMPAÑA">
  <location ref="B36:P42" firstHeaderRow="1" firstDataRow="2" firstDataCol="1"/>
  <pivotFields count="11">
    <pivotField numFmtId="14" showAll="0"/>
    <pivotField numFmtId="167" showAll="0"/>
    <pivotField axis="axisCol" showAll="0">
      <items count="15">
        <item x="0"/>
        <item x="1"/>
        <item x="4"/>
        <item x="5"/>
        <item x="6"/>
        <item x="7"/>
        <item x="2"/>
        <item x="8"/>
        <item x="9"/>
        <item x="3"/>
        <item m="1" x="13"/>
        <item x="10"/>
        <item x="11"/>
        <item x="12"/>
        <item t="default"/>
      </items>
    </pivotField>
    <pivotField axis="axisRow" showAll="0">
      <items count="11">
        <item m="1" x="7"/>
        <item m="1" x="9"/>
        <item x="0"/>
        <item m="1" x="5"/>
        <item x="2"/>
        <item x="3"/>
        <item m="1" x="6"/>
        <item x="1"/>
        <item m="1" x="8"/>
        <item m="1" x="4"/>
        <item t="default"/>
      </items>
    </pivotField>
    <pivotField dataField="1" numFmtId="169" showAll="0"/>
    <pivotField showAll="0" sortType="ascending">
      <items count="16">
        <item m="1" x="8"/>
        <item x="0"/>
        <item x="1"/>
        <item m="1" x="13"/>
        <item m="1" x="6"/>
        <item m="1" x="7"/>
        <item m="1" x="9"/>
        <item m="1" x="5"/>
        <item m="1" x="10"/>
        <item m="1" x="12"/>
        <item m="1" x="14"/>
        <item x="2"/>
        <item m="1" x="4"/>
        <item m="1" x="11"/>
        <item m="1" x="3"/>
        <item t="default"/>
      </items>
    </pivotField>
    <pivotField numFmtId="166" showAll="0">
      <items count="63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0"/>
        <item x="61"/>
        <item t="default"/>
      </items>
    </pivotField>
    <pivotField showAll="0"/>
    <pivotField showAll="0"/>
    <pivotField showAll="0" defaultSubtotal="0"/>
    <pivotField showAll="0" defaultSubtotal="0"/>
  </pivotFields>
  <rowFields count="1">
    <field x="3"/>
  </rowFields>
  <rowItems count="5">
    <i>
      <x v="2"/>
    </i>
    <i>
      <x v="4"/>
    </i>
    <i>
      <x v="5"/>
    </i>
    <i>
      <x v="7"/>
    </i>
    <i t="grand">
      <x/>
    </i>
  </rowItems>
  <colFields count="1">
    <field x="2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 t="grand">
      <x/>
    </i>
  </colItems>
  <dataFields count="1">
    <dataField name="Suma de CANTIDAD" fld="4" baseField="0" baseItem="0" numFmtId="169"/>
  </dataFields>
  <formats count="34">
    <format dxfId="601">
      <pivotArea type="origin" dataOnly="0" labelOnly="1" outline="0" fieldPosition="0"/>
    </format>
    <format dxfId="600">
      <pivotArea field="5" type="button" dataOnly="0" labelOnly="1" outline="0"/>
    </format>
    <format dxfId="599">
      <pivotArea field="3" type="button" dataOnly="0" labelOnly="1" outline="0" axis="axisRow" fieldPosition="0"/>
    </format>
    <format dxfId="598">
      <pivotArea outline="0" collapsedLevelsAreSubtotals="1" fieldPosition="0"/>
    </format>
    <format dxfId="597">
      <pivotArea dataOnly="0" labelOnly="1" grandCol="1" outline="0" fieldPosition="0"/>
    </format>
    <format dxfId="596">
      <pivotArea type="origin" dataOnly="0" labelOnly="1" outline="0" fieldPosition="0"/>
    </format>
    <format dxfId="595">
      <pivotArea type="origin" dataOnly="0" labelOnly="1" outline="0" fieldPosition="0"/>
    </format>
    <format dxfId="594">
      <pivotArea field="5" type="button" dataOnly="0" labelOnly="1" outline="0"/>
    </format>
    <format dxfId="593">
      <pivotArea field="5" type="button" dataOnly="0" labelOnly="1" outline="0"/>
    </format>
    <format dxfId="592">
      <pivotArea outline="0" collapsedLevelsAreSubtotals="1" fieldPosition="0"/>
    </format>
    <format dxfId="591">
      <pivotArea dataOnly="0" labelOnly="1" grandRow="1" outline="0" fieldPosition="0"/>
    </format>
    <format dxfId="590">
      <pivotArea dataOnly="0" labelOnly="1" grandRow="1" outline="0" fieldPosition="0"/>
    </format>
    <format dxfId="589">
      <pivotArea grandRow="1" outline="0" collapsedLevelsAreSubtotals="1" fieldPosition="0"/>
    </format>
    <format dxfId="588">
      <pivotArea field="5" type="button" dataOnly="0" labelOnly="1" outline="0"/>
    </format>
    <format dxfId="587">
      <pivotArea type="all" dataOnly="0" outline="0" fieldPosition="0"/>
    </format>
    <format dxfId="586">
      <pivotArea outline="0" collapsedLevelsAreSubtotals="1" fieldPosition="0"/>
    </format>
    <format dxfId="585">
      <pivotArea field="5" type="button" dataOnly="0" labelOnly="1" outline="0"/>
    </format>
    <format dxfId="584">
      <pivotArea type="topRight" dataOnly="0" labelOnly="1" outline="0" fieldPosition="0"/>
    </format>
    <format dxfId="583">
      <pivotArea field="3" type="button" dataOnly="0" labelOnly="1" outline="0" axis="axisRow" fieldPosition="0"/>
    </format>
    <format dxfId="582">
      <pivotArea dataOnly="0" labelOnly="1" fieldPosition="0">
        <references count="1">
          <reference field="3" count="0"/>
        </references>
      </pivotArea>
    </format>
    <format dxfId="581">
      <pivotArea dataOnly="0" labelOnly="1" grandRow="1" outline="0" fieldPosition="0"/>
    </format>
    <format dxfId="580">
      <pivotArea type="origin" dataOnly="0" labelOnly="1" outline="0" fieldPosition="0"/>
    </format>
    <format dxfId="579">
      <pivotArea type="origin" dataOnly="0" labelOnly="1" outline="0" fieldPosition="0"/>
    </format>
    <format dxfId="578">
      <pivotArea type="topRight" dataOnly="0" labelOnly="1" outline="0" fieldPosition="0"/>
    </format>
    <format dxfId="577">
      <pivotArea type="origin" dataOnly="0" labelOnly="1" outline="0" fieldPosition="0"/>
    </format>
    <format dxfId="576">
      <pivotArea dataOnly="0" labelOnly="1" grandCol="1" outline="0" fieldPosition="0"/>
    </format>
    <format dxfId="575">
      <pivotArea outline="0" collapsedLevelsAreSubtotals="1" fieldPosition="0"/>
    </format>
    <format dxfId="574">
      <pivotArea dataOnly="0" labelOnly="1" fieldPosition="0">
        <references count="1">
          <reference field="2" count="0"/>
        </references>
      </pivotArea>
    </format>
    <format dxfId="573">
      <pivotArea dataOnly="0" labelOnly="1" grandCol="1" outline="0" fieldPosition="0"/>
    </format>
    <format dxfId="572">
      <pivotArea dataOnly="0" labelOnly="1" fieldPosition="0">
        <references count="1">
          <reference field="2" count="0"/>
        </references>
      </pivotArea>
    </format>
    <format dxfId="571">
      <pivotArea dataOnly="0" labelOnly="1" grandCol="1" outline="0" fieldPosition="0"/>
    </format>
    <format dxfId="570">
      <pivotArea dataOnly="0" labelOnly="1" fieldPosition="0">
        <references count="1">
          <reference field="2" count="0"/>
        </references>
      </pivotArea>
    </format>
    <format dxfId="569">
      <pivotArea dataOnly="0" labelOnly="1" grandCol="1" outline="0" fieldPosition="0"/>
    </format>
    <format dxfId="568">
      <pivotArea dataOnly="0" labelOnly="1" grandCol="1" outline="0" fieldPosition="0"/>
    </format>
  </formats>
  <pivotTableStyleInfo name="PivotStyleMedium2 2 2 2 2" showRowHeaders="1" showColHeaders="1" showRowStripes="0" showColStripes="0" showLastColumn="1"/>
  <filters count="1">
    <filter fld="6" type="dateBetween" evalOrder="-1" id="479" name="FECHA_HORA">
      <autoFilter ref="A1">
        <filterColumn colId="0">
          <customFilters and="1">
            <customFilter operator="greaterThanOrEqual" val="45383"/>
            <customFilter operator="lessThanOrEqual" val="454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5B6263-C916-44BB-A77E-51F822D04599}" name="Tabla1" displayName="Tabla1" ref="A1:I223" headerRowDxfId="618">
  <sortState xmlns:xlrd2="http://schemas.microsoft.com/office/spreadsheetml/2017/richdata2" ref="A208:I223">
    <sortCondition ref="D1:D223"/>
  </sortState>
  <tableColumns count="9">
    <tableColumn id="1" xr3:uid="{F68AD783-8E40-4B88-8820-B40093B44FA9}" name="FECHA" dataDxfId="617" totalsRowDxfId="616"/>
    <tableColumn id="2" xr3:uid="{79E253E2-54C4-4EE4-97F6-5C684901792A}" name="HORA" dataDxfId="615" totalsRowDxfId="614"/>
    <tableColumn id="3" xr3:uid="{5EF67006-19DB-43A5-9A09-C3AFEEBA2284}" name="MARCA" dataDxfId="613" totalsRowDxfId="612"/>
    <tableColumn id="4" xr3:uid="{DDDA7B98-EC84-48A2-937D-48ED53C7BC40}" name="PROCESO" dataDxfId="611" totalsRowDxfId="610"/>
    <tableColumn id="5" xr3:uid="{4F864126-D5B7-4EF5-A879-0DB1EC78664D}" name="CANTIDAD" dataDxfId="609" totalsRowDxfId="608" dataCellStyle="Millares"/>
    <tableColumn id="6" xr3:uid="{73CE2D01-E092-47A8-95D2-9E6BFDA2C17D}" name="CAMPAÑA" dataDxfId="607" totalsRowDxfId="606" dataCellStyle="Millares"/>
    <tableColumn id="7" xr3:uid="{940302F6-9475-4623-9C7F-57AD0042E3C8}" name="FECHA_HORA" dataDxfId="605" totalsRowDxfId="604">
      <calculatedColumnFormula>Tabla1[[#This Row],[FECHA]]+Tabla1[[#This Row],[HORA]]</calculatedColumnFormula>
    </tableColumn>
    <tableColumn id="8" xr3:uid="{71A7E832-89AE-4732-84F2-21A89C095A0F}" name="Fecha2" dataDxfId="603" totalsRowDxfId="602">
      <calculatedColumnFormula>IF(Tabla1[[#This Row],[FECHA]]=TODAY(),"HOY","")</calculatedColumnFormula>
    </tableColumn>
    <tableColumn id="9" xr3:uid="{BEBF25F0-AD29-441E-81B4-13A556EF88FD}" name="COSTE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HORA" xr10:uid="{7305F3B0-BFF9-4825-B07E-E0313EF48933}" sourceName="FECHA_HORA">
  <pivotTables>
    <pivotTable tabId="3" name="MENSUAL_FECHA"/>
    <pivotTable tabId="8" name="TABLE_MONTH"/>
    <pivotTable tabId="3" name="MARCAS_MENSUAL"/>
    <pivotTable tabId="3" name="PORCENTUAL_PROCESO"/>
  </pivotTables>
  <state minimalRefreshVersion="6" lastRefreshVersion="6" pivotCacheId="573454315" filterType="dateBetween">
    <selection startDate="2024-04-01T00:00:00" endDate="2024-04-30T00:00:00"/>
    <bounds startDate="2024-01-01T11:30:00" endDate="2025-01-01T10:3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F708D048-5303-4CF8-B7A3-163781D7755E}" sourceName="FECHA">
  <pivotTables>
    <pivotTable tabId="3" name="MARCAS_DIA"/>
    <pivotTable tabId="3" name="PROCESO"/>
    <pivotTable tabId="3" name="TablaDinámica9"/>
    <pivotTable tabId="3" name="PORCENTUAL_PROCESO"/>
    <pivotTable tabId="6" name="PROCESOS_HORA"/>
  </pivotTables>
  <state minimalRefreshVersion="6" lastRefreshVersion="6" pivotCacheId="573454315" filterType="dateEqual">
    <selection startDate="2024-04-13T00:00:00" endDate="2024-04-13T00:00:00"/>
    <bounds startDate="2024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10DD0619-6A96-4F97-9878-74540BFA80B5}" cache="NativeTimeline_FECHA" caption="FECHA" showHeader="0" showSelectionLabel="0" showTimeLevel="0" level="3" selectionLevel="3" scrollPosition="2024-04-09T00:00:00" style="TimeSlicerStyleDark1 2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_HORA 4" xr10:uid="{BB2A24FB-0C1A-44CF-A485-1C79B90A984D}" cache="NativeTimeline_FECHA_HORA" caption="ESCALA DE TIEMPO" showHeader="0" showSelectionLabel="0" showTimeLevel="0" level="2" selectionLevel="2" scrollPosition="2024-02-01T00:00:00" style="TimeSlicerStyleDark1 2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7.xml"/><Relationship Id="rId4" Type="http://schemas.microsoft.com/office/2011/relationships/timeline" Target="../timelines/timeline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E8354-2BCF-442B-9CB3-65A919512B6E}">
  <sheetPr codeName="Hoja3"/>
  <dimension ref="B1:AH76"/>
  <sheetViews>
    <sheetView showGridLines="0" showRowColHeaders="0" topLeftCell="A40" workbookViewId="0">
      <selection activeCell="S35" sqref="S35"/>
    </sheetView>
  </sheetViews>
  <sheetFormatPr baseColWidth="10" defaultRowHeight="15" x14ac:dyDescent="0.25"/>
  <cols>
    <col min="1" max="1" width="11.42578125" style="53"/>
    <col min="2" max="2" width="21.85546875" style="53" customWidth="1"/>
    <col min="3" max="10" width="11.42578125" style="53"/>
    <col min="11" max="11" width="23.28515625" style="53" bestFit="1" customWidth="1"/>
    <col min="12" max="12" width="19.85546875" style="52" bestFit="1" customWidth="1"/>
    <col min="13" max="13" width="11.42578125" style="53"/>
    <col min="14" max="14" width="19.5703125" style="53" bestFit="1" customWidth="1"/>
    <col min="15" max="15" width="18.42578125" style="52" bestFit="1" customWidth="1"/>
    <col min="16" max="16" width="19.42578125" style="52" bestFit="1" customWidth="1"/>
    <col min="17" max="17" width="19.85546875" style="53" bestFit="1" customWidth="1"/>
    <col min="18" max="18" width="17.5703125" style="53" bestFit="1" customWidth="1"/>
    <col min="19" max="19" width="19.85546875" style="52" bestFit="1" customWidth="1"/>
    <col min="20" max="20" width="21" style="52" bestFit="1" customWidth="1"/>
    <col min="21" max="21" width="17.5703125" style="52" bestFit="1" customWidth="1"/>
    <col min="22" max="22" width="19.85546875" style="52" bestFit="1" customWidth="1"/>
    <col min="23" max="23" width="14" style="52" bestFit="1" customWidth="1"/>
    <col min="24" max="24" width="14" style="53" bestFit="1" customWidth="1"/>
    <col min="25" max="25" width="18.42578125" style="53" bestFit="1" customWidth="1"/>
    <col min="26" max="26" width="17.5703125" style="53" bestFit="1" customWidth="1"/>
    <col min="27" max="27" width="18.42578125" style="53" bestFit="1" customWidth="1"/>
    <col min="28" max="28" width="12.5703125" style="53" customWidth="1"/>
    <col min="29" max="29" width="19.5703125" style="53" bestFit="1" customWidth="1"/>
    <col min="30" max="30" width="18.42578125" style="53" bestFit="1" customWidth="1"/>
    <col min="31" max="31" width="19.42578125" style="53" bestFit="1" customWidth="1"/>
    <col min="32" max="32" width="17.5703125" style="53" bestFit="1" customWidth="1"/>
    <col min="33" max="33" width="18.42578125" style="53" bestFit="1" customWidth="1"/>
    <col min="34" max="34" width="11.42578125" style="65"/>
    <col min="35" max="16384" width="11.42578125" style="53"/>
  </cols>
  <sheetData>
    <row r="1" spans="2:34" x14ac:dyDescent="0.25">
      <c r="B1" s="51" t="s">
        <v>31</v>
      </c>
      <c r="C1" s="52">
        <f>IFERROR(VLOOKUP(B1,N:O,2,0),0)</f>
        <v>0</v>
      </c>
      <c r="E1" s="53" t="s">
        <v>10</v>
      </c>
      <c r="F1" s="52">
        <f>IFERROR(VLOOKUP(E1,U:V,2,0),0)</f>
        <v>112503</v>
      </c>
      <c r="H1" s="53" t="s">
        <v>10</v>
      </c>
      <c r="I1" s="52">
        <f>IFERROR(VLOOKUP(E1,U:V,2,0),0)</f>
        <v>112503</v>
      </c>
      <c r="J1" s="52"/>
      <c r="K1"/>
      <c r="L1" s="12"/>
      <c r="M1" s="54"/>
      <c r="N1" s="53" t="s">
        <v>26</v>
      </c>
      <c r="O1" s="53" t="s">
        <v>28</v>
      </c>
      <c r="P1" s="53" t="s">
        <v>56</v>
      </c>
      <c r="R1" s="53" t="s">
        <v>26</v>
      </c>
      <c r="S1" s="55" t="s">
        <v>28</v>
      </c>
      <c r="T1"/>
      <c r="U1" s="53" t="s">
        <v>26</v>
      </c>
      <c r="V1" s="55" t="s">
        <v>28</v>
      </c>
      <c r="W1"/>
      <c r="X1" s="54"/>
      <c r="AC1" s="53" t="s">
        <v>26</v>
      </c>
      <c r="AD1" s="53" t="s">
        <v>28</v>
      </c>
      <c r="AE1" s="53" t="s">
        <v>56</v>
      </c>
      <c r="AG1" s="54" t="s">
        <v>31</v>
      </c>
      <c r="AH1" s="70">
        <f>IFERROR(VLOOKUP(AG1,AC:AE,3,0),0)</f>
        <v>0</v>
      </c>
    </row>
    <row r="2" spans="2:34" x14ac:dyDescent="0.25">
      <c r="B2" s="51" t="s">
        <v>6</v>
      </c>
      <c r="C2" s="52">
        <f>IFERROR(VLOOKUP(B2,N:O,2,0),0)</f>
        <v>85171</v>
      </c>
      <c r="E2" s="53" t="s">
        <v>11</v>
      </c>
      <c r="F2" s="52">
        <f t="shared" ref="F2:F15" si="0">IFERROR(VLOOKUP(E2,U:V,2,0),0)</f>
        <v>16384</v>
      </c>
      <c r="H2" s="53" t="s">
        <v>11</v>
      </c>
      <c r="I2" s="52">
        <f t="shared" ref="I2:I11" si="1">IFERROR(VLOOKUP(E2,U:V,2,0),0)</f>
        <v>16384</v>
      </c>
      <c r="J2" s="52"/>
      <c r="K2"/>
      <c r="L2" s="12"/>
      <c r="M2" s="54"/>
      <c r="N2" s="56" t="s">
        <v>6</v>
      </c>
      <c r="O2" s="55">
        <v>85171</v>
      </c>
      <c r="P2" s="64">
        <v>0.22901340130786441</v>
      </c>
      <c r="R2" s="56" t="s">
        <v>13</v>
      </c>
      <c r="S2" s="55">
        <v>2084504</v>
      </c>
      <c r="T2"/>
      <c r="U2" s="56" t="s">
        <v>37</v>
      </c>
      <c r="V2" s="55">
        <v>514</v>
      </c>
      <c r="W2"/>
      <c r="X2" s="54"/>
      <c r="AC2" s="56" t="s">
        <v>6</v>
      </c>
      <c r="AD2" s="55">
        <v>85171</v>
      </c>
      <c r="AE2" s="64">
        <v>0.22901340130786441</v>
      </c>
      <c r="AG2" s="54" t="s">
        <v>6</v>
      </c>
      <c r="AH2" s="70">
        <f t="shared" ref="AH2:AH8" si="2">IFERROR(VLOOKUP(AG2,AC:AE,3,0),0)</f>
        <v>0.22901340130786441</v>
      </c>
    </row>
    <row r="3" spans="2:34" x14ac:dyDescent="0.25">
      <c r="B3" s="51" t="s">
        <v>5</v>
      </c>
      <c r="C3" s="52">
        <f t="shared" ref="C3:C8" si="3">IFERROR(VLOOKUP(B3,N:O,2,0),0)</f>
        <v>0</v>
      </c>
      <c r="E3" s="53" t="s">
        <v>12</v>
      </c>
      <c r="F3" s="52">
        <f t="shared" si="0"/>
        <v>17422</v>
      </c>
      <c r="H3" s="53" t="s">
        <v>12</v>
      </c>
      <c r="I3" s="52">
        <f t="shared" si="1"/>
        <v>17422</v>
      </c>
      <c r="J3" s="52"/>
      <c r="K3" s="53" t="s">
        <v>26</v>
      </c>
      <c r="L3" s="55" t="s">
        <v>28</v>
      </c>
      <c r="M3" s="54"/>
      <c r="N3" s="56" t="s">
        <v>7</v>
      </c>
      <c r="O3" s="55">
        <v>64540</v>
      </c>
      <c r="P3" s="64">
        <v>0.17353940801927378</v>
      </c>
      <c r="R3" s="56" t="s">
        <v>37</v>
      </c>
      <c r="S3" s="55">
        <v>3067</v>
      </c>
      <c r="T3"/>
      <c r="U3" s="56" t="s">
        <v>10</v>
      </c>
      <c r="V3" s="55">
        <v>112503</v>
      </c>
      <c r="W3"/>
      <c r="X3" s="54"/>
      <c r="AB3" s="57"/>
      <c r="AC3" s="56" t="s">
        <v>7</v>
      </c>
      <c r="AD3" s="55">
        <v>64540</v>
      </c>
      <c r="AE3" s="64">
        <v>0.17353940801927378</v>
      </c>
      <c r="AG3" s="54" t="s">
        <v>5</v>
      </c>
      <c r="AH3" s="70">
        <f t="shared" si="2"/>
        <v>0</v>
      </c>
    </row>
    <row r="4" spans="2:34" x14ac:dyDescent="0.25">
      <c r="B4" s="51" t="s">
        <v>7</v>
      </c>
      <c r="C4" s="52">
        <f t="shared" si="3"/>
        <v>64540</v>
      </c>
      <c r="E4" s="53" t="s">
        <v>14</v>
      </c>
      <c r="F4" s="52">
        <f t="shared" si="0"/>
        <v>3344</v>
      </c>
      <c r="G4" s="53">
        <f>IFERROR(VLOOKUP(E4,AD:AE,2,0),0)</f>
        <v>0</v>
      </c>
      <c r="H4" s="53" t="s">
        <v>14</v>
      </c>
      <c r="I4" s="52">
        <f t="shared" si="1"/>
        <v>3344</v>
      </c>
      <c r="J4" s="52"/>
      <c r="K4" s="69" t="s">
        <v>53</v>
      </c>
      <c r="L4" s="55">
        <v>215769</v>
      </c>
      <c r="M4" s="54"/>
      <c r="N4" s="56" t="s">
        <v>17</v>
      </c>
      <c r="O4" s="55">
        <v>4810</v>
      </c>
      <c r="P4" s="64">
        <v>1.2933445190156599E-2</v>
      </c>
      <c r="R4" s="56" t="s">
        <v>10</v>
      </c>
      <c r="S4" s="55">
        <v>1398610</v>
      </c>
      <c r="T4"/>
      <c r="U4" s="56" t="s">
        <v>18</v>
      </c>
      <c r="V4" s="55">
        <v>2755</v>
      </c>
      <c r="W4"/>
      <c r="X4" s="54"/>
      <c r="Y4" s="54"/>
      <c r="Z4" s="53" t="s">
        <v>26</v>
      </c>
      <c r="AA4" s="53" t="s">
        <v>28</v>
      </c>
      <c r="AB4" s="57"/>
      <c r="AC4" s="56" t="s">
        <v>17</v>
      </c>
      <c r="AD4" s="55">
        <v>4810</v>
      </c>
      <c r="AE4" s="64">
        <v>1.2933445190156599E-2</v>
      </c>
      <c r="AG4" s="54" t="s">
        <v>7</v>
      </c>
      <c r="AH4" s="70">
        <f t="shared" si="2"/>
        <v>0.17353940801927378</v>
      </c>
    </row>
    <row r="5" spans="2:34" x14ac:dyDescent="0.25">
      <c r="B5" s="51" t="s">
        <v>17</v>
      </c>
      <c r="C5" s="52">
        <f t="shared" si="3"/>
        <v>4810</v>
      </c>
      <c r="E5" s="53" t="s">
        <v>18</v>
      </c>
      <c r="F5" s="52">
        <f t="shared" si="0"/>
        <v>2755</v>
      </c>
      <c r="H5" s="53" t="s">
        <v>18</v>
      </c>
      <c r="I5" s="52">
        <f t="shared" si="1"/>
        <v>2755</v>
      </c>
      <c r="J5" s="52">
        <f>SUM(I5:I8)</f>
        <v>70508</v>
      </c>
      <c r="K5" s="68" t="s">
        <v>6</v>
      </c>
      <c r="L5" s="55">
        <v>84875</v>
      </c>
      <c r="M5" s="54"/>
      <c r="N5" s="56" t="s">
        <v>4</v>
      </c>
      <c r="O5" s="55">
        <v>217383</v>
      </c>
      <c r="P5" s="64">
        <v>0.58451374548270518</v>
      </c>
      <c r="R5" s="56" t="s">
        <v>18</v>
      </c>
      <c r="S5" s="55">
        <v>15705</v>
      </c>
      <c r="T5"/>
      <c r="U5" s="56" t="s">
        <v>20</v>
      </c>
      <c r="V5" s="55">
        <v>2813</v>
      </c>
      <c r="W5"/>
      <c r="X5" s="54"/>
      <c r="Y5" s="54"/>
      <c r="Z5" s="59">
        <v>45384</v>
      </c>
      <c r="AA5" s="57">
        <v>383986</v>
      </c>
      <c r="AB5" s="57"/>
      <c r="AC5" s="56" t="s">
        <v>4</v>
      </c>
      <c r="AD5" s="55">
        <v>217383</v>
      </c>
      <c r="AE5" s="64">
        <v>0.58451374548270518</v>
      </c>
      <c r="AG5" s="54" t="s">
        <v>17</v>
      </c>
      <c r="AH5" s="70">
        <f t="shared" si="2"/>
        <v>1.2933445190156599E-2</v>
      </c>
    </row>
    <row r="6" spans="2:34" x14ac:dyDescent="0.25">
      <c r="B6" s="51" t="s">
        <v>3</v>
      </c>
      <c r="C6" s="52">
        <f t="shared" si="3"/>
        <v>0</v>
      </c>
      <c r="E6" s="53" t="s">
        <v>19</v>
      </c>
      <c r="F6" s="52">
        <f t="shared" si="0"/>
        <v>0</v>
      </c>
      <c r="H6" s="53" t="s">
        <v>19</v>
      </c>
      <c r="I6" s="52">
        <f t="shared" si="1"/>
        <v>0</v>
      </c>
      <c r="J6" s="52"/>
      <c r="K6" s="68" t="s">
        <v>7</v>
      </c>
      <c r="L6" s="55">
        <v>64540</v>
      </c>
      <c r="M6" s="54"/>
      <c r="N6" s="56" t="s">
        <v>27</v>
      </c>
      <c r="O6" s="55">
        <v>371904</v>
      </c>
      <c r="P6" s="64">
        <v>1</v>
      </c>
      <c r="R6" s="56" t="s">
        <v>19</v>
      </c>
      <c r="S6" s="55">
        <v>11185</v>
      </c>
      <c r="T6"/>
      <c r="U6" s="56" t="s">
        <v>21</v>
      </c>
      <c r="V6" s="55">
        <v>64940</v>
      </c>
      <c r="W6"/>
      <c r="X6" s="54"/>
      <c r="Y6" s="54"/>
      <c r="Z6" s="59">
        <v>45385</v>
      </c>
      <c r="AA6" s="57">
        <v>307616</v>
      </c>
      <c r="AB6" s="57"/>
      <c r="AC6" s="56" t="s">
        <v>27</v>
      </c>
      <c r="AD6" s="55">
        <v>371904</v>
      </c>
      <c r="AE6" s="64">
        <v>1</v>
      </c>
      <c r="AG6" s="54" t="s">
        <v>3</v>
      </c>
      <c r="AH6" s="70">
        <f t="shared" si="2"/>
        <v>0</v>
      </c>
    </row>
    <row r="7" spans="2:34" x14ac:dyDescent="0.25">
      <c r="B7" s="51" t="s">
        <v>4</v>
      </c>
      <c r="C7" s="52">
        <f t="shared" si="3"/>
        <v>217383</v>
      </c>
      <c r="E7" s="53" t="s">
        <v>20</v>
      </c>
      <c r="F7" s="52">
        <f t="shared" si="0"/>
        <v>2813</v>
      </c>
      <c r="H7" s="53" t="s">
        <v>20</v>
      </c>
      <c r="I7" s="52">
        <f t="shared" si="1"/>
        <v>2813</v>
      </c>
      <c r="J7" s="52"/>
      <c r="K7" s="68" t="s">
        <v>17</v>
      </c>
      <c r="L7" s="55">
        <v>4810</v>
      </c>
      <c r="M7" s="54"/>
      <c r="N7" s="54"/>
      <c r="O7" s="58"/>
      <c r="P7" s="58"/>
      <c r="R7" s="56" t="s">
        <v>20</v>
      </c>
      <c r="S7" s="55">
        <v>15381</v>
      </c>
      <c r="T7"/>
      <c r="U7" s="56" t="s">
        <v>11</v>
      </c>
      <c r="V7" s="55">
        <v>16384</v>
      </c>
      <c r="W7"/>
      <c r="X7" s="54"/>
      <c r="Y7" s="54"/>
      <c r="Z7" s="59">
        <v>45386</v>
      </c>
      <c r="AA7" s="57">
        <v>390644</v>
      </c>
      <c r="AB7" s="57"/>
      <c r="AC7"/>
      <c r="AD7"/>
      <c r="AG7" s="54" t="s">
        <v>4</v>
      </c>
      <c r="AH7" s="70">
        <f t="shared" si="2"/>
        <v>0.58451374548270518</v>
      </c>
    </row>
    <row r="8" spans="2:34" x14ac:dyDescent="0.25">
      <c r="B8" s="51" t="s">
        <v>16</v>
      </c>
      <c r="C8" s="52">
        <f t="shared" si="3"/>
        <v>0</v>
      </c>
      <c r="E8" s="53" t="s">
        <v>21</v>
      </c>
      <c r="F8" s="52">
        <f t="shared" si="0"/>
        <v>64940</v>
      </c>
      <c r="H8" s="53" t="s">
        <v>21</v>
      </c>
      <c r="I8" s="52">
        <f t="shared" si="1"/>
        <v>64940</v>
      </c>
      <c r="J8" s="52"/>
      <c r="K8" s="68" t="s">
        <v>4</v>
      </c>
      <c r="L8" s="55">
        <v>61544</v>
      </c>
      <c r="M8" s="54"/>
      <c r="N8" s="54"/>
      <c r="O8" s="58"/>
      <c r="P8" s="58"/>
      <c r="R8" s="56" t="s">
        <v>21</v>
      </c>
      <c r="S8" s="55">
        <v>311490</v>
      </c>
      <c r="T8"/>
      <c r="U8" s="56" t="s">
        <v>12</v>
      </c>
      <c r="V8" s="55">
        <v>17422</v>
      </c>
      <c r="W8"/>
      <c r="X8" s="54"/>
      <c r="Y8" s="54"/>
      <c r="Z8" s="59">
        <v>45387</v>
      </c>
      <c r="AA8" s="57">
        <v>545658</v>
      </c>
      <c r="AC8"/>
      <c r="AD8"/>
      <c r="AG8" s="54" t="s">
        <v>16</v>
      </c>
      <c r="AH8" s="70">
        <f t="shared" si="2"/>
        <v>0</v>
      </c>
    </row>
    <row r="9" spans="2:34" x14ac:dyDescent="0.25">
      <c r="C9" s="52"/>
      <c r="E9" s="53" t="s">
        <v>15</v>
      </c>
      <c r="F9" s="52">
        <f t="shared" si="0"/>
        <v>91105</v>
      </c>
      <c r="H9" s="53" t="s">
        <v>15</v>
      </c>
      <c r="I9" s="52">
        <f t="shared" si="1"/>
        <v>91105</v>
      </c>
      <c r="J9" s="52"/>
      <c r="K9" s="69" t="s">
        <v>55</v>
      </c>
      <c r="L9" s="55">
        <v>156135</v>
      </c>
      <c r="M9" s="54"/>
      <c r="N9" s="54"/>
      <c r="O9" s="58"/>
      <c r="P9" s="58"/>
      <c r="R9" s="56" t="s">
        <v>11</v>
      </c>
      <c r="S9" s="55">
        <v>286897</v>
      </c>
      <c r="T9"/>
      <c r="U9" s="56" t="s">
        <v>14</v>
      </c>
      <c r="V9" s="55">
        <v>3344</v>
      </c>
      <c r="W9"/>
      <c r="X9" s="54"/>
      <c r="Y9" s="54"/>
      <c r="Z9" s="59">
        <v>45388</v>
      </c>
      <c r="AA9" s="57">
        <v>553258</v>
      </c>
      <c r="AC9"/>
      <c r="AD9"/>
      <c r="AG9" s="54"/>
      <c r="AH9" s="70"/>
    </row>
    <row r="10" spans="2:34" x14ac:dyDescent="0.25">
      <c r="B10" s="53" t="s">
        <v>27</v>
      </c>
      <c r="C10" s="52">
        <f>IFERROR(VLOOKUP(B10,N:O,2,0),0)</f>
        <v>371904</v>
      </c>
      <c r="E10" s="53" t="s">
        <v>22</v>
      </c>
      <c r="F10" s="52">
        <f t="shared" si="0"/>
        <v>60124</v>
      </c>
      <c r="H10" s="53" t="s">
        <v>22</v>
      </c>
      <c r="I10" s="52">
        <f t="shared" si="1"/>
        <v>60124</v>
      </c>
      <c r="J10" s="52"/>
      <c r="K10" s="68" t="s">
        <v>6</v>
      </c>
      <c r="L10" s="55">
        <v>296</v>
      </c>
      <c r="M10" s="54"/>
      <c r="N10" s="54"/>
      <c r="O10" s="58"/>
      <c r="P10" s="58"/>
      <c r="R10" s="56" t="s">
        <v>12</v>
      </c>
      <c r="S10" s="55">
        <v>174226</v>
      </c>
      <c r="T10"/>
      <c r="U10" s="56" t="s">
        <v>22</v>
      </c>
      <c r="V10" s="55">
        <v>60124</v>
      </c>
      <c r="W10"/>
      <c r="X10" s="54"/>
      <c r="Y10" s="54"/>
      <c r="Z10" s="59">
        <v>45390</v>
      </c>
      <c r="AA10" s="57">
        <v>848947</v>
      </c>
      <c r="AC10"/>
      <c r="AD10"/>
      <c r="AG10" s="54"/>
      <c r="AH10" s="70"/>
    </row>
    <row r="11" spans="2:34" x14ac:dyDescent="0.25">
      <c r="E11" s="53" t="s">
        <v>13</v>
      </c>
      <c r="F11" s="52">
        <f t="shared" si="0"/>
        <v>0</v>
      </c>
      <c r="H11" s="53" t="s">
        <v>13</v>
      </c>
      <c r="I11" s="52">
        <f t="shared" si="1"/>
        <v>0</v>
      </c>
      <c r="J11" s="52"/>
      <c r="K11" s="68" t="s">
        <v>4</v>
      </c>
      <c r="L11" s="55">
        <v>155839</v>
      </c>
      <c r="M11" s="54"/>
      <c r="R11" s="56" t="s">
        <v>14</v>
      </c>
      <c r="S11" s="55">
        <v>18921</v>
      </c>
      <c r="T11"/>
      <c r="U11" s="56" t="s">
        <v>15</v>
      </c>
      <c r="V11" s="55">
        <v>91105</v>
      </c>
      <c r="W11"/>
      <c r="X11" s="54"/>
      <c r="Y11" s="54"/>
      <c r="Z11" s="59">
        <v>45391</v>
      </c>
      <c r="AA11" s="57">
        <v>673154</v>
      </c>
      <c r="AC11"/>
      <c r="AD11"/>
      <c r="AG11" s="54"/>
      <c r="AH11" s="70"/>
    </row>
    <row r="12" spans="2:34" x14ac:dyDescent="0.25">
      <c r="E12" s="53" t="s">
        <v>24</v>
      </c>
      <c r="F12" s="52">
        <f t="shared" si="0"/>
        <v>0</v>
      </c>
      <c r="K12" s="69" t="s">
        <v>27</v>
      </c>
      <c r="L12" s="55">
        <v>371904</v>
      </c>
      <c r="M12" s="54"/>
      <c r="R12" s="56" t="s">
        <v>40</v>
      </c>
      <c r="S12" s="55">
        <v>76785</v>
      </c>
      <c r="T12"/>
      <c r="U12" s="56" t="s">
        <v>27</v>
      </c>
      <c r="V12" s="55">
        <v>371904</v>
      </c>
      <c r="W12"/>
      <c r="X12" s="54"/>
      <c r="Y12" s="54"/>
      <c r="Z12" s="59">
        <v>45392</v>
      </c>
      <c r="AA12" s="57">
        <v>780492</v>
      </c>
      <c r="AC12"/>
      <c r="AD12"/>
      <c r="AE12" s="54"/>
      <c r="AG12" s="54"/>
      <c r="AH12" s="70"/>
    </row>
    <row r="13" spans="2:34" x14ac:dyDescent="0.25">
      <c r="E13" s="53" t="s">
        <v>23</v>
      </c>
      <c r="F13" s="52">
        <f t="shared" si="0"/>
        <v>0</v>
      </c>
      <c r="K13"/>
      <c r="L13"/>
      <c r="M13" s="54"/>
      <c r="R13" s="56" t="s">
        <v>22</v>
      </c>
      <c r="S13" s="55">
        <v>1064899</v>
      </c>
      <c r="T13"/>
      <c r="U13"/>
      <c r="V13"/>
      <c r="W13"/>
      <c r="Y13" s="54"/>
      <c r="Z13" s="59">
        <v>45393</v>
      </c>
      <c r="AA13" s="57">
        <v>548694</v>
      </c>
      <c r="AD13" s="54"/>
      <c r="AE13" s="54"/>
    </row>
    <row r="14" spans="2:34" x14ac:dyDescent="0.25">
      <c r="E14" s="53" t="s">
        <v>37</v>
      </c>
      <c r="F14" s="52">
        <f t="shared" si="0"/>
        <v>514</v>
      </c>
      <c r="K14"/>
      <c r="L14"/>
      <c r="M14" s="54"/>
      <c r="R14" s="56" t="s">
        <v>15</v>
      </c>
      <c r="S14" s="55">
        <v>1018891</v>
      </c>
      <c r="T14"/>
      <c r="U14"/>
      <c r="V14"/>
      <c r="W14"/>
      <c r="Y14" s="54"/>
      <c r="Z14" s="59">
        <v>45394</v>
      </c>
      <c r="AA14" s="57">
        <v>1076208</v>
      </c>
      <c r="AD14" s="54"/>
      <c r="AE14" s="54"/>
    </row>
    <row r="15" spans="2:34" x14ac:dyDescent="0.25">
      <c r="B15" s="53" t="s">
        <v>29</v>
      </c>
      <c r="C15" s="52">
        <f>C10</f>
        <v>371904</v>
      </c>
      <c r="D15" s="60"/>
      <c r="E15" s="53" t="s">
        <v>40</v>
      </c>
      <c r="F15" s="52">
        <f t="shared" si="0"/>
        <v>0</v>
      </c>
      <c r="K15"/>
      <c r="L15"/>
      <c r="M15" s="54"/>
      <c r="R15" s="56" t="s">
        <v>27</v>
      </c>
      <c r="S15" s="55">
        <v>6480561</v>
      </c>
      <c r="T15"/>
      <c r="U15"/>
      <c r="V15"/>
      <c r="W15"/>
      <c r="Y15" s="54"/>
      <c r="Z15" s="59">
        <v>45395</v>
      </c>
      <c r="AA15" s="57">
        <v>371904</v>
      </c>
      <c r="AD15" s="54"/>
      <c r="AE15" s="54"/>
    </row>
    <row r="16" spans="2:34" x14ac:dyDescent="0.25">
      <c r="B16" s="53" t="s">
        <v>30</v>
      </c>
      <c r="C16" s="52">
        <f>IFERROR(VLOOKUP(B10,K:L,2,0),0)</f>
        <v>371904</v>
      </c>
      <c r="D16" s="60">
        <f>IFERROR(IF(C16/$C$15=0,"",C16/$C$15),"")</f>
        <v>1</v>
      </c>
      <c r="K16"/>
      <c r="L16"/>
      <c r="M16" s="54"/>
      <c r="R16"/>
      <c r="S16"/>
      <c r="T16"/>
      <c r="U16"/>
      <c r="V16" s="12"/>
      <c r="W16"/>
      <c r="Y16" s="54"/>
      <c r="Z16" s="56" t="s">
        <v>27</v>
      </c>
      <c r="AA16" s="57">
        <v>6480561</v>
      </c>
      <c r="AD16" s="54"/>
      <c r="AE16" s="54"/>
    </row>
    <row r="17" spans="3:25" x14ac:dyDescent="0.25">
      <c r="C17" s="61"/>
      <c r="K17"/>
      <c r="L17"/>
      <c r="M17" s="54"/>
      <c r="R17"/>
      <c r="S17"/>
      <c r="T17"/>
      <c r="U17"/>
      <c r="V17" s="12"/>
      <c r="W17"/>
      <c r="Y17" s="54"/>
    </row>
    <row r="18" spans="3:25" x14ac:dyDescent="0.25">
      <c r="K18"/>
      <c r="L18"/>
      <c r="M18" s="54"/>
      <c r="R18"/>
      <c r="S18"/>
      <c r="T18"/>
      <c r="U18"/>
      <c r="V18" s="12"/>
      <c r="W18"/>
      <c r="Y18" s="54"/>
    </row>
    <row r="19" spans="3:25" x14ac:dyDescent="0.25">
      <c r="K19"/>
      <c r="L19"/>
      <c r="R19"/>
      <c r="S19"/>
      <c r="T19"/>
      <c r="U19"/>
      <c r="V19" s="12"/>
      <c r="W19"/>
      <c r="Y19" s="54"/>
    </row>
    <row r="20" spans="3:25" x14ac:dyDescent="0.25">
      <c r="K20"/>
      <c r="L20"/>
      <c r="R20"/>
      <c r="S20"/>
      <c r="T20"/>
      <c r="U20"/>
      <c r="V20" s="12"/>
      <c r="W20"/>
      <c r="Y20" s="54"/>
    </row>
    <row r="21" spans="3:25" x14ac:dyDescent="0.25">
      <c r="K21"/>
      <c r="L21"/>
      <c r="R21"/>
      <c r="S21"/>
      <c r="T21"/>
      <c r="U21"/>
      <c r="V21" s="12"/>
      <c r="W21"/>
      <c r="Y21" s="54"/>
    </row>
    <row r="22" spans="3:25" x14ac:dyDescent="0.25">
      <c r="K22"/>
      <c r="L22"/>
      <c r="R22"/>
      <c r="S22"/>
      <c r="T22"/>
      <c r="U22"/>
      <c r="V22" s="12"/>
      <c r="W22"/>
      <c r="Y22" s="54"/>
    </row>
    <row r="23" spans="3:25" x14ac:dyDescent="0.25">
      <c r="K23"/>
      <c r="L23"/>
      <c r="R23"/>
      <c r="S23"/>
      <c r="T23"/>
      <c r="U23"/>
      <c r="V23" s="12"/>
      <c r="W23"/>
      <c r="Y23" s="54"/>
    </row>
    <row r="24" spans="3:25" x14ac:dyDescent="0.25">
      <c r="K24"/>
      <c r="L24"/>
      <c r="R24"/>
      <c r="S24"/>
      <c r="T24"/>
      <c r="U24"/>
      <c r="V24" s="12"/>
      <c r="W24"/>
    </row>
    <row r="25" spans="3:25" x14ac:dyDescent="0.25">
      <c r="K25"/>
      <c r="L25"/>
      <c r="R25"/>
      <c r="S25"/>
      <c r="T25"/>
      <c r="U25"/>
      <c r="V25" s="12"/>
      <c r="W25"/>
    </row>
    <row r="26" spans="3:25" x14ac:dyDescent="0.25">
      <c r="K26"/>
      <c r="L26"/>
      <c r="R26"/>
      <c r="S26"/>
      <c r="T26"/>
      <c r="U26"/>
      <c r="V26" s="12"/>
      <c r="W26"/>
    </row>
    <row r="27" spans="3:25" x14ac:dyDescent="0.25">
      <c r="K27"/>
      <c r="L27"/>
      <c r="R27"/>
      <c r="S27"/>
      <c r="T27"/>
      <c r="U27"/>
      <c r="V27" s="12"/>
      <c r="W27"/>
    </row>
    <row r="28" spans="3:25" x14ac:dyDescent="0.25">
      <c r="K28"/>
      <c r="L28"/>
      <c r="R28"/>
      <c r="S28"/>
      <c r="T28"/>
      <c r="U28"/>
      <c r="V28" s="12"/>
      <c r="W28"/>
    </row>
    <row r="29" spans="3:25" x14ac:dyDescent="0.25">
      <c r="K29"/>
      <c r="L29"/>
      <c r="R29"/>
      <c r="S29"/>
      <c r="T29"/>
      <c r="U29"/>
      <c r="V29" s="12"/>
      <c r="W29"/>
    </row>
    <row r="30" spans="3:25" x14ac:dyDescent="0.25">
      <c r="K30"/>
      <c r="L30"/>
      <c r="R30"/>
      <c r="S30"/>
      <c r="T30"/>
      <c r="U30"/>
      <c r="V30" s="12"/>
      <c r="W30"/>
    </row>
    <row r="31" spans="3:25" x14ac:dyDescent="0.25">
      <c r="K31"/>
      <c r="L31"/>
      <c r="R31"/>
      <c r="S31"/>
      <c r="T31"/>
      <c r="U31"/>
      <c r="V31" s="12"/>
      <c r="W31"/>
    </row>
    <row r="32" spans="3:25" x14ac:dyDescent="0.25">
      <c r="K32"/>
      <c r="L32"/>
      <c r="R32"/>
      <c r="S32"/>
      <c r="T32"/>
      <c r="U32"/>
      <c r="V32" s="12"/>
      <c r="W32"/>
    </row>
    <row r="33" spans="11:23" x14ac:dyDescent="0.25">
      <c r="K33"/>
      <c r="L33"/>
      <c r="R33"/>
      <c r="S33"/>
      <c r="T33"/>
      <c r="U33"/>
      <c r="V33" s="12"/>
      <c r="W33"/>
    </row>
    <row r="34" spans="11:23" x14ac:dyDescent="0.25">
      <c r="K34"/>
      <c r="L34"/>
      <c r="R34"/>
      <c r="S34"/>
      <c r="T34"/>
      <c r="U34"/>
      <c r="V34" s="12"/>
      <c r="W34"/>
    </row>
    <row r="35" spans="11:23" x14ac:dyDescent="0.25">
      <c r="K35"/>
      <c r="L35"/>
      <c r="R35"/>
      <c r="S35"/>
      <c r="T35"/>
      <c r="U35"/>
      <c r="V35" s="12"/>
      <c r="W35"/>
    </row>
    <row r="36" spans="11:23" x14ac:dyDescent="0.25">
      <c r="K36"/>
      <c r="L36"/>
      <c r="R36"/>
      <c r="S36"/>
      <c r="T36"/>
      <c r="U36"/>
      <c r="V36" s="12"/>
      <c r="W36"/>
    </row>
    <row r="37" spans="11:23" x14ac:dyDescent="0.25">
      <c r="K37"/>
      <c r="L37"/>
      <c r="R37"/>
      <c r="S37"/>
      <c r="T37"/>
      <c r="U37"/>
      <c r="V37" s="12"/>
      <c r="W37"/>
    </row>
    <row r="38" spans="11:23" x14ac:dyDescent="0.25">
      <c r="R38"/>
      <c r="S38"/>
      <c r="T38"/>
      <c r="U38"/>
      <c r="V38" s="12"/>
      <c r="W38"/>
    </row>
    <row r="39" spans="11:23" x14ac:dyDescent="0.25">
      <c r="R39"/>
      <c r="S39"/>
      <c r="T39"/>
      <c r="U39"/>
      <c r="V39" s="12"/>
      <c r="W39"/>
    </row>
    <row r="40" spans="11:23" x14ac:dyDescent="0.25">
      <c r="R40"/>
      <c r="S40"/>
      <c r="T40"/>
      <c r="U40"/>
      <c r="V40" s="12"/>
      <c r="W40"/>
    </row>
    <row r="41" spans="11:23" x14ac:dyDescent="0.25">
      <c r="R41"/>
      <c r="S41"/>
      <c r="T41"/>
      <c r="U41"/>
      <c r="V41" s="12"/>
      <c r="W41"/>
    </row>
    <row r="42" spans="11:23" x14ac:dyDescent="0.25">
      <c r="R42"/>
      <c r="S42"/>
      <c r="T42"/>
      <c r="U42"/>
      <c r="V42" s="12"/>
      <c r="W42"/>
    </row>
    <row r="43" spans="11:23" x14ac:dyDescent="0.25">
      <c r="R43"/>
      <c r="S43"/>
      <c r="T43"/>
      <c r="U43"/>
      <c r="V43" s="12"/>
      <c r="W43"/>
    </row>
    <row r="44" spans="11:23" x14ac:dyDescent="0.25">
      <c r="R44"/>
      <c r="S44"/>
      <c r="T44"/>
      <c r="U44"/>
      <c r="V44" s="12"/>
      <c r="W44"/>
    </row>
    <row r="45" spans="11:23" x14ac:dyDescent="0.25">
      <c r="R45"/>
      <c r="S45"/>
      <c r="T45"/>
      <c r="U45"/>
      <c r="V45" s="12"/>
      <c r="W45"/>
    </row>
    <row r="46" spans="11:23" x14ac:dyDescent="0.25">
      <c r="R46"/>
      <c r="S46"/>
      <c r="T46"/>
      <c r="U46"/>
      <c r="V46" s="12"/>
      <c r="W46"/>
    </row>
    <row r="47" spans="11:23" x14ac:dyDescent="0.25">
      <c r="R47"/>
      <c r="S47"/>
      <c r="T47"/>
      <c r="U47"/>
      <c r="V47" s="12"/>
      <c r="W47"/>
    </row>
    <row r="48" spans="11:23" x14ac:dyDescent="0.25">
      <c r="R48"/>
      <c r="S48"/>
      <c r="T48"/>
      <c r="U48"/>
      <c r="V48" s="12"/>
      <c r="W48"/>
    </row>
    <row r="49" spans="18:23" x14ac:dyDescent="0.25">
      <c r="R49"/>
      <c r="S49"/>
      <c r="T49"/>
      <c r="U49"/>
      <c r="V49" s="12"/>
      <c r="W49"/>
    </row>
    <row r="50" spans="18:23" x14ac:dyDescent="0.25">
      <c r="R50"/>
      <c r="S50"/>
      <c r="T50"/>
      <c r="U50"/>
      <c r="V50" s="12"/>
      <c r="W50"/>
    </row>
    <row r="51" spans="18:23" x14ac:dyDescent="0.25">
      <c r="R51"/>
      <c r="S51"/>
      <c r="T51"/>
      <c r="U51"/>
      <c r="V51" s="12"/>
      <c r="W51"/>
    </row>
    <row r="52" spans="18:23" x14ac:dyDescent="0.25">
      <c r="R52"/>
      <c r="S52"/>
      <c r="T52"/>
      <c r="U52"/>
      <c r="V52" s="12"/>
      <c r="W52"/>
    </row>
    <row r="53" spans="18:23" x14ac:dyDescent="0.25">
      <c r="R53"/>
      <c r="S53"/>
      <c r="T53"/>
      <c r="U53"/>
      <c r="V53" s="12"/>
      <c r="W53"/>
    </row>
    <row r="54" spans="18:23" x14ac:dyDescent="0.25">
      <c r="R54"/>
      <c r="S54"/>
      <c r="T54"/>
      <c r="U54"/>
      <c r="V54" s="12"/>
      <c r="W54"/>
    </row>
    <row r="55" spans="18:23" x14ac:dyDescent="0.25">
      <c r="R55"/>
      <c r="S55"/>
      <c r="T55"/>
      <c r="U55"/>
      <c r="V55" s="12"/>
      <c r="W55"/>
    </row>
    <row r="56" spans="18:23" x14ac:dyDescent="0.25">
      <c r="R56"/>
      <c r="S56"/>
      <c r="T56"/>
      <c r="U56"/>
      <c r="V56" s="12"/>
      <c r="W56"/>
    </row>
    <row r="57" spans="18:23" x14ac:dyDescent="0.25">
      <c r="R57"/>
      <c r="S57"/>
      <c r="T57"/>
      <c r="U57"/>
      <c r="V57" s="12"/>
      <c r="W57"/>
    </row>
    <row r="58" spans="18:23" x14ac:dyDescent="0.25">
      <c r="R58"/>
      <c r="S58"/>
      <c r="T58"/>
      <c r="U58"/>
      <c r="V58" s="12"/>
      <c r="W58"/>
    </row>
    <row r="59" spans="18:23" x14ac:dyDescent="0.25">
      <c r="R59"/>
      <c r="S59"/>
      <c r="T59"/>
      <c r="U59"/>
      <c r="V59" s="12"/>
      <c r="W59"/>
    </row>
    <row r="60" spans="18:23" x14ac:dyDescent="0.25">
      <c r="R60"/>
      <c r="S60"/>
      <c r="T60"/>
      <c r="U60"/>
      <c r="V60" s="12"/>
      <c r="W60"/>
    </row>
    <row r="61" spans="18:23" x14ac:dyDescent="0.25">
      <c r="R61"/>
      <c r="S61"/>
      <c r="T61"/>
      <c r="U61"/>
      <c r="V61" s="12"/>
      <c r="W61"/>
    </row>
    <row r="62" spans="18:23" x14ac:dyDescent="0.25">
      <c r="R62"/>
      <c r="S62"/>
      <c r="T62"/>
      <c r="U62"/>
      <c r="V62" s="12"/>
      <c r="W62"/>
    </row>
    <row r="63" spans="18:23" x14ac:dyDescent="0.25">
      <c r="R63"/>
      <c r="S63"/>
      <c r="T63"/>
      <c r="U63"/>
      <c r="V63" s="12"/>
      <c r="W63"/>
    </row>
    <row r="64" spans="18:23" x14ac:dyDescent="0.25">
      <c r="R64"/>
      <c r="S64"/>
      <c r="T64"/>
      <c r="U64"/>
      <c r="V64" s="12"/>
      <c r="W64"/>
    </row>
    <row r="65" spans="18:23" x14ac:dyDescent="0.25">
      <c r="R65"/>
      <c r="S65"/>
      <c r="T65"/>
      <c r="U65"/>
      <c r="V65" s="12"/>
      <c r="W65"/>
    </row>
    <row r="66" spans="18:23" x14ac:dyDescent="0.25">
      <c r="R66"/>
      <c r="S66"/>
      <c r="T66"/>
      <c r="U66"/>
      <c r="V66" s="12"/>
      <c r="W66"/>
    </row>
    <row r="67" spans="18:23" x14ac:dyDescent="0.25">
      <c r="R67"/>
      <c r="S67"/>
      <c r="T67"/>
      <c r="U67"/>
      <c r="V67" s="12"/>
      <c r="W67"/>
    </row>
    <row r="68" spans="18:23" x14ac:dyDescent="0.25">
      <c r="R68"/>
      <c r="S68"/>
      <c r="T68"/>
      <c r="U68"/>
      <c r="V68" s="12"/>
      <c r="W68"/>
    </row>
    <row r="69" spans="18:23" x14ac:dyDescent="0.25">
      <c r="R69"/>
      <c r="S69"/>
      <c r="T69"/>
      <c r="U69"/>
      <c r="V69" s="12"/>
      <c r="W69"/>
    </row>
    <row r="70" spans="18:23" x14ac:dyDescent="0.25">
      <c r="R70"/>
      <c r="S70"/>
      <c r="T70"/>
      <c r="U70"/>
      <c r="V70" s="12"/>
      <c r="W70"/>
    </row>
    <row r="71" spans="18:23" x14ac:dyDescent="0.25">
      <c r="R71"/>
      <c r="S71"/>
      <c r="T71"/>
      <c r="U71"/>
      <c r="V71" s="12"/>
      <c r="W71"/>
    </row>
    <row r="72" spans="18:23" x14ac:dyDescent="0.25">
      <c r="R72"/>
      <c r="S72"/>
      <c r="T72"/>
      <c r="U72"/>
      <c r="V72" s="12"/>
      <c r="W72"/>
    </row>
    <row r="73" spans="18:23" x14ac:dyDescent="0.25">
      <c r="R73"/>
      <c r="S73"/>
      <c r="T73"/>
      <c r="U73"/>
      <c r="V73" s="12"/>
      <c r="W73"/>
    </row>
    <row r="74" spans="18:23" x14ac:dyDescent="0.25">
      <c r="R74"/>
      <c r="S74"/>
      <c r="T74"/>
      <c r="U74"/>
      <c r="V74" s="12"/>
      <c r="W74"/>
    </row>
    <row r="75" spans="18:23" x14ac:dyDescent="0.25">
      <c r="R75"/>
      <c r="S75"/>
      <c r="T75"/>
      <c r="U75"/>
      <c r="V75" s="12"/>
      <c r="W75"/>
    </row>
    <row r="76" spans="18:23" x14ac:dyDescent="0.25">
      <c r="R76"/>
      <c r="S76"/>
      <c r="T76"/>
      <c r="U76"/>
      <c r="V76" s="12"/>
      <c r="W76"/>
    </row>
  </sheetData>
  <sortState xmlns:xlrd2="http://schemas.microsoft.com/office/spreadsheetml/2017/richdata2" ref="B1:B8">
    <sortCondition ref="B8"/>
  </sortState>
  <pageMargins left="0.7" right="0.7" top="0.75" bottom="0.75" header="0.3" footer="0.3"/>
  <pageSetup orientation="portrait" horizontalDpi="360" verticalDpi="360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B8F61-F5A2-445C-BCBE-61C8A70BF4CC}">
  <sheetPr codeName="Hoja2"/>
  <dimension ref="A1:BA229"/>
  <sheetViews>
    <sheetView showGridLines="0" showRowColHeaders="0" workbookViewId="0">
      <pane ySplit="1" topLeftCell="A206" activePane="bottomLeft" state="frozen"/>
      <selection activeCell="F345" sqref="D29:F345"/>
      <selection pane="bottomLeft" activeCell="J216" sqref="J216"/>
    </sheetView>
  </sheetViews>
  <sheetFormatPr baseColWidth="10" defaultRowHeight="15" x14ac:dyDescent="0.25"/>
  <cols>
    <col min="1" max="1" width="15.7109375" style="3" customWidth="1"/>
    <col min="2" max="2" width="15.7109375" style="8" customWidth="1"/>
    <col min="3" max="3" width="15.7109375" style="1" customWidth="1"/>
    <col min="4" max="4" width="19.5703125" bestFit="1" customWidth="1"/>
    <col min="5" max="5" width="15.7109375" style="12" customWidth="1"/>
    <col min="6" max="6" width="19.5703125" style="12" bestFit="1" customWidth="1"/>
    <col min="7" max="7" width="18.7109375" style="6" customWidth="1"/>
    <col min="8" max="9" width="15.7109375" hidden="1" customWidth="1"/>
    <col min="53" max="53" width="13.140625" bestFit="1" customWidth="1"/>
    <col min="83" max="83" width="27.42578125" customWidth="1"/>
    <col min="84" max="84" width="14.5703125" customWidth="1"/>
    <col min="90" max="90" width="24.28515625" bestFit="1" customWidth="1"/>
    <col min="91" max="91" width="10.7109375" bestFit="1" customWidth="1"/>
    <col min="92" max="92" width="6.85546875" bestFit="1" customWidth="1"/>
  </cols>
  <sheetData>
    <row r="1" spans="1:53" x14ac:dyDescent="0.25">
      <c r="A1" s="72" t="s">
        <v>0</v>
      </c>
      <c r="B1" s="73" t="s">
        <v>1</v>
      </c>
      <c r="C1" s="74" t="s">
        <v>36</v>
      </c>
      <c r="D1" s="74" t="s">
        <v>8</v>
      </c>
      <c r="E1" s="75" t="s">
        <v>9</v>
      </c>
      <c r="F1" s="75" t="s">
        <v>2</v>
      </c>
      <c r="G1" s="71" t="s">
        <v>25</v>
      </c>
      <c r="H1" s="1" t="s">
        <v>32</v>
      </c>
      <c r="I1" s="1" t="s">
        <v>33</v>
      </c>
      <c r="Q1" s="10"/>
      <c r="R1" s="14"/>
      <c r="AZ1" s="14" t="s">
        <v>34</v>
      </c>
      <c r="BA1" s="19"/>
    </row>
    <row r="2" spans="1:53" x14ac:dyDescent="0.25">
      <c r="A2" s="2">
        <v>45384</v>
      </c>
      <c r="B2" s="7">
        <v>0.47916666666666669</v>
      </c>
      <c r="C2" s="1" t="s">
        <v>13</v>
      </c>
      <c r="D2" s="4" t="s">
        <v>6</v>
      </c>
      <c r="E2" s="11">
        <v>383986</v>
      </c>
      <c r="F2" s="11" t="s">
        <v>35</v>
      </c>
      <c r="G2" s="5">
        <f>Tabla1[[#This Row],[FECHA]]+Tabla1[[#This Row],[HORA]]</f>
        <v>45384.479166666664</v>
      </c>
      <c r="H2" s="9" t="str">
        <f ca="1">IF(Tabla1[[#This Row],[FECHA]]=TODAY(),"HOY","")</f>
        <v/>
      </c>
    </row>
    <row r="3" spans="1:53" x14ac:dyDescent="0.25">
      <c r="A3" s="2">
        <v>45385</v>
      </c>
      <c r="B3" s="7">
        <v>0.375</v>
      </c>
      <c r="C3" s="1" t="s">
        <v>10</v>
      </c>
      <c r="D3" s="4" t="s">
        <v>4</v>
      </c>
      <c r="E3" s="11">
        <v>521</v>
      </c>
      <c r="F3" s="11" t="s">
        <v>35</v>
      </c>
      <c r="G3" s="5">
        <f>Tabla1[[#This Row],[FECHA]]+Tabla1[[#This Row],[HORA]]</f>
        <v>45385.375</v>
      </c>
      <c r="H3" s="9" t="str">
        <f ca="1">IF(Tabla1[[#This Row],[FECHA]]=TODAY(),"HOY","")</f>
        <v/>
      </c>
      <c r="J3" s="1"/>
      <c r="K3" s="1"/>
      <c r="L3" s="1"/>
      <c r="M3" s="1"/>
      <c r="N3" s="1"/>
      <c r="O3" s="1"/>
      <c r="P3" s="1"/>
      <c r="Q3" s="1"/>
    </row>
    <row r="4" spans="1:53" x14ac:dyDescent="0.25">
      <c r="A4" s="2">
        <v>45385</v>
      </c>
      <c r="B4" s="7">
        <v>0.375</v>
      </c>
      <c r="C4" s="1" t="s">
        <v>11</v>
      </c>
      <c r="D4" s="4" t="s">
        <v>4</v>
      </c>
      <c r="E4" s="11">
        <v>464</v>
      </c>
      <c r="F4" s="11" t="s">
        <v>35</v>
      </c>
      <c r="G4" s="5">
        <f>Tabla1[[#This Row],[FECHA]]+Tabla1[[#This Row],[HORA]]</f>
        <v>45385.375</v>
      </c>
      <c r="H4" s="9" t="str">
        <f ca="1">IF(Tabla1[[#This Row],[FECHA]]=TODAY(),"HOY","")</f>
        <v/>
      </c>
    </row>
    <row r="5" spans="1:53" x14ac:dyDescent="0.25">
      <c r="A5" s="2">
        <v>45385</v>
      </c>
      <c r="B5" s="7">
        <v>0.375</v>
      </c>
      <c r="C5" s="1" t="s">
        <v>22</v>
      </c>
      <c r="D5" s="4" t="s">
        <v>4</v>
      </c>
      <c r="E5" s="11">
        <v>22036</v>
      </c>
      <c r="F5" s="11" t="s">
        <v>35</v>
      </c>
      <c r="G5" s="5">
        <f>Tabla1[[#This Row],[FECHA]]+Tabla1[[#This Row],[HORA]]</f>
        <v>45385.375</v>
      </c>
      <c r="H5" s="9" t="str">
        <f ca="1">IF(Tabla1[[#This Row],[FECHA]]=TODAY(),"HOY","")</f>
        <v/>
      </c>
    </row>
    <row r="6" spans="1:53" x14ac:dyDescent="0.25">
      <c r="A6" s="2">
        <v>45385</v>
      </c>
      <c r="B6" s="7">
        <v>0.4375</v>
      </c>
      <c r="C6" s="1" t="s">
        <v>10</v>
      </c>
      <c r="D6" s="4" t="s">
        <v>6</v>
      </c>
      <c r="E6" s="11">
        <v>417</v>
      </c>
      <c r="F6" s="11" t="s">
        <v>35</v>
      </c>
      <c r="G6" s="5">
        <f>Tabla1[[#This Row],[FECHA]]+Tabla1[[#This Row],[HORA]]</f>
        <v>45385.4375</v>
      </c>
      <c r="H6" s="9" t="str">
        <f ca="1">IF(Tabla1[[#This Row],[FECHA]]=TODAY(),"HOY","")</f>
        <v/>
      </c>
    </row>
    <row r="7" spans="1:53" x14ac:dyDescent="0.25">
      <c r="A7" s="2">
        <v>45385</v>
      </c>
      <c r="B7" s="7">
        <v>0.4375</v>
      </c>
      <c r="C7" s="1" t="s">
        <v>18</v>
      </c>
      <c r="D7" s="4" t="s">
        <v>6</v>
      </c>
      <c r="E7" s="11">
        <v>83</v>
      </c>
      <c r="F7" s="11" t="s">
        <v>35</v>
      </c>
      <c r="G7" s="5">
        <f>Tabla1[[#This Row],[FECHA]]+Tabla1[[#This Row],[HORA]]</f>
        <v>45385.4375</v>
      </c>
      <c r="H7" s="9" t="str">
        <f ca="1">IF(Tabla1[[#This Row],[FECHA]]=TODAY(),"HOY","")</f>
        <v/>
      </c>
    </row>
    <row r="8" spans="1:53" x14ac:dyDescent="0.25">
      <c r="A8" s="2">
        <v>45385</v>
      </c>
      <c r="B8" s="7">
        <v>0.4375</v>
      </c>
      <c r="C8" s="1" t="s">
        <v>19</v>
      </c>
      <c r="D8" s="4" t="s">
        <v>6</v>
      </c>
      <c r="E8" s="11">
        <v>77</v>
      </c>
      <c r="F8" s="11" t="s">
        <v>35</v>
      </c>
      <c r="G8" s="5">
        <f>Tabla1[[#This Row],[FECHA]]+Tabla1[[#This Row],[HORA]]</f>
        <v>45385.4375</v>
      </c>
      <c r="H8" s="9" t="str">
        <f ca="1">IF(Tabla1[[#This Row],[FECHA]]=TODAY(),"HOY","")</f>
        <v/>
      </c>
    </row>
    <row r="9" spans="1:53" x14ac:dyDescent="0.25">
      <c r="A9" s="2">
        <v>45385</v>
      </c>
      <c r="B9" s="7">
        <v>0.4375</v>
      </c>
      <c r="C9" s="1" t="s">
        <v>20</v>
      </c>
      <c r="D9" s="4" t="s">
        <v>6</v>
      </c>
      <c r="E9" s="11">
        <v>61</v>
      </c>
      <c r="F9" s="11" t="s">
        <v>35</v>
      </c>
      <c r="G9" s="5">
        <f>Tabla1[[#This Row],[FECHA]]+Tabla1[[#This Row],[HORA]]</f>
        <v>45385.4375</v>
      </c>
      <c r="H9" s="9" t="str">
        <f ca="1">IF(Tabla1[[#This Row],[FECHA]]=TODAY(),"HOY","")</f>
        <v/>
      </c>
    </row>
    <row r="10" spans="1:53" x14ac:dyDescent="0.25">
      <c r="A10" s="2">
        <v>45385</v>
      </c>
      <c r="B10" s="7">
        <v>0.4375</v>
      </c>
      <c r="C10" s="1" t="s">
        <v>21</v>
      </c>
      <c r="D10" s="4" t="s">
        <v>6</v>
      </c>
      <c r="E10" s="11">
        <v>205</v>
      </c>
      <c r="F10" s="11" t="s">
        <v>35</v>
      </c>
      <c r="G10" s="5">
        <f>Tabla1[[#This Row],[FECHA]]+Tabla1[[#This Row],[HORA]]</f>
        <v>45385.4375</v>
      </c>
      <c r="H10" s="9" t="str">
        <f ca="1">IF(Tabla1[[#This Row],[FECHA]]=TODAY(),"HOY","")</f>
        <v/>
      </c>
    </row>
    <row r="11" spans="1:53" x14ac:dyDescent="0.25">
      <c r="A11" s="2">
        <v>45385</v>
      </c>
      <c r="B11" s="7">
        <v>0.4375</v>
      </c>
      <c r="C11" s="1" t="s">
        <v>11</v>
      </c>
      <c r="D11" s="4" t="s">
        <v>6</v>
      </c>
      <c r="E11" s="11">
        <v>196</v>
      </c>
      <c r="F11" s="11" t="s">
        <v>35</v>
      </c>
      <c r="G11" s="5">
        <f>Tabla1[[#This Row],[FECHA]]+Tabla1[[#This Row],[HORA]]</f>
        <v>45385.4375</v>
      </c>
      <c r="H11" s="9" t="str">
        <f ca="1">IF(Tabla1[[#This Row],[FECHA]]=TODAY(),"HOY","")</f>
        <v/>
      </c>
    </row>
    <row r="12" spans="1:53" x14ac:dyDescent="0.25">
      <c r="A12" s="2">
        <v>45385</v>
      </c>
      <c r="B12" s="7">
        <v>0.4375</v>
      </c>
      <c r="C12" s="1" t="s">
        <v>12</v>
      </c>
      <c r="D12" s="4" t="s">
        <v>6</v>
      </c>
      <c r="E12" s="11">
        <v>49</v>
      </c>
      <c r="F12" s="11" t="s">
        <v>35</v>
      </c>
      <c r="G12" s="5">
        <f>Tabla1[[#This Row],[FECHA]]+Tabla1[[#This Row],[HORA]]</f>
        <v>45385.4375</v>
      </c>
      <c r="H12" s="9" t="str">
        <f ca="1">IF(Tabla1[[#This Row],[FECHA]]=TODAY(),"HOY","")</f>
        <v/>
      </c>
    </row>
    <row r="13" spans="1:53" x14ac:dyDescent="0.25">
      <c r="A13" s="2">
        <v>45385</v>
      </c>
      <c r="B13" s="7">
        <v>0.4375</v>
      </c>
      <c r="C13" s="1" t="s">
        <v>14</v>
      </c>
      <c r="D13" s="4" t="s">
        <v>6</v>
      </c>
      <c r="E13" s="11">
        <v>99</v>
      </c>
      <c r="F13" s="11" t="s">
        <v>35</v>
      </c>
      <c r="G13" s="5">
        <f>Tabla1[[#This Row],[FECHA]]+Tabla1[[#This Row],[HORA]]</f>
        <v>45385.4375</v>
      </c>
      <c r="H13" s="9" t="str">
        <f ca="1">IF(Tabla1[[#This Row],[FECHA]]=TODAY(),"HOY","")</f>
        <v/>
      </c>
    </row>
    <row r="14" spans="1:53" x14ac:dyDescent="0.25">
      <c r="A14" s="2">
        <v>45385</v>
      </c>
      <c r="B14" s="7">
        <v>0.4375</v>
      </c>
      <c r="C14" s="1" t="s">
        <v>22</v>
      </c>
      <c r="D14" s="4" t="s">
        <v>6</v>
      </c>
      <c r="E14" s="11">
        <v>22611</v>
      </c>
      <c r="F14" s="11" t="s">
        <v>35</v>
      </c>
      <c r="G14" s="5">
        <f>Tabla1[[#This Row],[FECHA]]+Tabla1[[#This Row],[HORA]]</f>
        <v>45385.4375</v>
      </c>
      <c r="H14" s="9" t="str">
        <f ca="1">IF(Tabla1[[#This Row],[FECHA]]=TODAY(),"HOY","")</f>
        <v/>
      </c>
    </row>
    <row r="15" spans="1:53" x14ac:dyDescent="0.25">
      <c r="A15" s="2">
        <v>45385</v>
      </c>
      <c r="B15" s="7">
        <v>0.4375</v>
      </c>
      <c r="C15" s="1" t="s">
        <v>22</v>
      </c>
      <c r="D15" s="4" t="s">
        <v>7</v>
      </c>
      <c r="E15" s="11">
        <v>21318</v>
      </c>
      <c r="F15" s="11" t="s">
        <v>35</v>
      </c>
      <c r="G15" s="5">
        <f>Tabla1[[#This Row],[FECHA]]+Tabla1[[#This Row],[HORA]]</f>
        <v>45385.4375</v>
      </c>
      <c r="H15" s="9" t="str">
        <f ca="1">IF(Tabla1[[#This Row],[FECHA]]=TODAY(),"HOY","")</f>
        <v/>
      </c>
    </row>
    <row r="16" spans="1:53" x14ac:dyDescent="0.25">
      <c r="A16" s="2">
        <v>45385</v>
      </c>
      <c r="B16" s="7">
        <v>0.4375</v>
      </c>
      <c r="C16" s="1" t="s">
        <v>22</v>
      </c>
      <c r="D16" s="4" t="s">
        <v>17</v>
      </c>
      <c r="E16" s="11">
        <v>16234</v>
      </c>
      <c r="F16" s="11" t="s">
        <v>35</v>
      </c>
      <c r="G16" s="5">
        <f>Tabla1[[#This Row],[FECHA]]+Tabla1[[#This Row],[HORA]]</f>
        <v>45385.4375</v>
      </c>
      <c r="H16" s="9" t="str">
        <f ca="1">IF(Tabla1[[#This Row],[FECHA]]=TODAY(),"HOY","")</f>
        <v/>
      </c>
    </row>
    <row r="17" spans="1:8" x14ac:dyDescent="0.25">
      <c r="A17" s="2">
        <v>45385</v>
      </c>
      <c r="B17" s="7">
        <v>0.45833333333333331</v>
      </c>
      <c r="C17" s="1" t="s">
        <v>13</v>
      </c>
      <c r="D17" s="4" t="s">
        <v>6</v>
      </c>
      <c r="E17" s="11">
        <v>201052</v>
      </c>
      <c r="F17" s="11" t="s">
        <v>35</v>
      </c>
      <c r="G17" s="5">
        <f>Tabla1[[#This Row],[FECHA]]+Tabla1[[#This Row],[HORA]]</f>
        <v>45385.458333333336</v>
      </c>
      <c r="H17" s="9" t="str">
        <f ca="1">IF(Tabla1[[#This Row],[FECHA]]=TODAY(),"HOY","")</f>
        <v/>
      </c>
    </row>
    <row r="18" spans="1:8" x14ac:dyDescent="0.25">
      <c r="A18" s="2">
        <v>45385</v>
      </c>
      <c r="B18" s="7">
        <v>0.45833333333333331</v>
      </c>
      <c r="C18" s="1" t="s">
        <v>37</v>
      </c>
      <c r="D18" s="4" t="s">
        <v>4</v>
      </c>
      <c r="E18" s="11">
        <v>255</v>
      </c>
      <c r="F18" s="11" t="s">
        <v>37</v>
      </c>
      <c r="G18" s="5">
        <f>Tabla1[[#This Row],[FECHA]]+Tabla1[[#This Row],[HORA]]</f>
        <v>45385.458333333336</v>
      </c>
      <c r="H18" s="9" t="str">
        <f ca="1">IF(Tabla1[[#This Row],[FECHA]]=TODAY(),"HOY","")</f>
        <v/>
      </c>
    </row>
    <row r="19" spans="1:8" x14ac:dyDescent="0.25">
      <c r="A19" s="2">
        <v>45385</v>
      </c>
      <c r="B19" s="7">
        <v>0.625</v>
      </c>
      <c r="C19" s="1" t="s">
        <v>22</v>
      </c>
      <c r="D19" s="4" t="s">
        <v>4</v>
      </c>
      <c r="E19" s="11">
        <v>21938</v>
      </c>
      <c r="F19" s="11" t="s">
        <v>35</v>
      </c>
      <c r="G19" s="5">
        <f>Tabla1[[#This Row],[FECHA]]+Tabla1[[#This Row],[HORA]]</f>
        <v>45385.625</v>
      </c>
      <c r="H19" s="9" t="str">
        <f ca="1">IF(Tabla1[[#This Row],[FECHA]]=TODAY(),"HOY","")</f>
        <v/>
      </c>
    </row>
    <row r="20" spans="1:8" x14ac:dyDescent="0.25">
      <c r="A20" s="2">
        <v>45386</v>
      </c>
      <c r="B20" s="7">
        <v>0.39583333333333331</v>
      </c>
      <c r="C20" s="1" t="s">
        <v>13</v>
      </c>
      <c r="D20" s="4" t="s">
        <v>6</v>
      </c>
      <c r="E20" s="11">
        <v>267473</v>
      </c>
      <c r="F20" s="21" t="s">
        <v>35</v>
      </c>
      <c r="G20" s="5">
        <f>Tabla1[[#This Row],[FECHA]]+Tabla1[[#This Row],[HORA]]</f>
        <v>45386.395833333336</v>
      </c>
      <c r="H20" s="9" t="str">
        <f ca="1">IF(Tabla1[[#This Row],[FECHA]]=TODAY(),"HOY","")</f>
        <v/>
      </c>
    </row>
    <row r="21" spans="1:8" x14ac:dyDescent="0.25">
      <c r="A21" s="2">
        <v>45386</v>
      </c>
      <c r="B21" s="7">
        <v>0.39583333333333331</v>
      </c>
      <c r="C21" s="1" t="s">
        <v>10</v>
      </c>
      <c r="D21" s="4" t="s">
        <v>6</v>
      </c>
      <c r="E21" s="11">
        <v>2119</v>
      </c>
      <c r="F21" s="11" t="s">
        <v>35</v>
      </c>
      <c r="G21" s="5">
        <f>Tabla1[[#This Row],[FECHA]]+Tabla1[[#This Row],[HORA]]</f>
        <v>45386.395833333336</v>
      </c>
      <c r="H21" s="9" t="str">
        <f ca="1">IF(Tabla1[[#This Row],[FECHA]]=TODAY(),"HOY","")</f>
        <v/>
      </c>
    </row>
    <row r="22" spans="1:8" x14ac:dyDescent="0.25">
      <c r="A22" s="2">
        <v>45386</v>
      </c>
      <c r="B22" s="7">
        <v>0.39583333333333331</v>
      </c>
      <c r="C22" s="1" t="s">
        <v>18</v>
      </c>
      <c r="D22" s="4" t="s">
        <v>6</v>
      </c>
      <c r="E22" s="11">
        <v>95</v>
      </c>
      <c r="F22" s="11" t="s">
        <v>35</v>
      </c>
      <c r="G22" s="5">
        <f>Tabla1[[#This Row],[FECHA]]+Tabla1[[#This Row],[HORA]]</f>
        <v>45386.395833333336</v>
      </c>
      <c r="H22" s="9" t="str">
        <f ca="1">IF(Tabla1[[#This Row],[FECHA]]=TODAY(),"HOY","")</f>
        <v/>
      </c>
    </row>
    <row r="23" spans="1:8" x14ac:dyDescent="0.25">
      <c r="A23" s="2">
        <v>45386</v>
      </c>
      <c r="B23" s="7">
        <v>0.39583333333333331</v>
      </c>
      <c r="C23" s="1" t="s">
        <v>19</v>
      </c>
      <c r="D23" s="4" t="s">
        <v>6</v>
      </c>
      <c r="E23" s="11">
        <v>90</v>
      </c>
      <c r="F23" s="11" t="s">
        <v>35</v>
      </c>
      <c r="G23" s="5">
        <f>Tabla1[[#This Row],[FECHA]]+Tabla1[[#This Row],[HORA]]</f>
        <v>45386.395833333336</v>
      </c>
      <c r="H23" s="9" t="str">
        <f ca="1">IF(Tabla1[[#This Row],[FECHA]]=TODAY(),"HOY","")</f>
        <v/>
      </c>
    </row>
    <row r="24" spans="1:8" x14ac:dyDescent="0.25">
      <c r="A24" s="2">
        <v>45386</v>
      </c>
      <c r="B24" s="7">
        <v>0.39583333333333331</v>
      </c>
      <c r="C24" s="1" t="s">
        <v>20</v>
      </c>
      <c r="D24" s="4" t="s">
        <v>6</v>
      </c>
      <c r="E24" s="11">
        <v>77</v>
      </c>
      <c r="F24" s="11" t="s">
        <v>35</v>
      </c>
      <c r="G24" s="5">
        <f>Tabla1[[#This Row],[FECHA]]+Tabla1[[#This Row],[HORA]]</f>
        <v>45386.395833333336</v>
      </c>
      <c r="H24" s="9" t="str">
        <f ca="1">IF(Tabla1[[#This Row],[FECHA]]=TODAY(),"HOY","")</f>
        <v/>
      </c>
    </row>
    <row r="25" spans="1:8" x14ac:dyDescent="0.25">
      <c r="A25" s="2">
        <v>45386</v>
      </c>
      <c r="B25" s="7">
        <v>0.39583333333333331</v>
      </c>
      <c r="C25" s="1" t="s">
        <v>21</v>
      </c>
      <c r="D25" s="4" t="s">
        <v>6</v>
      </c>
      <c r="E25" s="11">
        <v>816</v>
      </c>
      <c r="F25" s="21" t="s">
        <v>35</v>
      </c>
      <c r="G25" s="5">
        <f>Tabla1[[#This Row],[FECHA]]+Tabla1[[#This Row],[HORA]]</f>
        <v>45386.395833333336</v>
      </c>
      <c r="H25" s="9" t="str">
        <f ca="1">IF(Tabla1[[#This Row],[FECHA]]=TODAY(),"HOY","")</f>
        <v/>
      </c>
    </row>
    <row r="26" spans="1:8" x14ac:dyDescent="0.25">
      <c r="A26" s="2">
        <v>45386</v>
      </c>
      <c r="B26" s="7">
        <v>0.39583333333333331</v>
      </c>
      <c r="C26" s="1" t="s">
        <v>11</v>
      </c>
      <c r="D26" s="4" t="s">
        <v>6</v>
      </c>
      <c r="E26" s="11">
        <v>251</v>
      </c>
      <c r="F26" s="11" t="s">
        <v>35</v>
      </c>
      <c r="G26" s="5">
        <f>Tabla1[[#This Row],[FECHA]]+Tabla1[[#This Row],[HORA]]</f>
        <v>45386.395833333336</v>
      </c>
      <c r="H26" s="9" t="str">
        <f ca="1">IF(Tabla1[[#This Row],[FECHA]]=TODAY(),"HOY","")</f>
        <v/>
      </c>
    </row>
    <row r="27" spans="1:8" x14ac:dyDescent="0.25">
      <c r="A27" s="2">
        <v>45386</v>
      </c>
      <c r="B27" s="7">
        <v>0.39583333333333331</v>
      </c>
      <c r="C27" s="1" t="s">
        <v>12</v>
      </c>
      <c r="D27" s="4" t="s">
        <v>6</v>
      </c>
      <c r="E27" s="11">
        <v>6576</v>
      </c>
      <c r="F27" s="11" t="s">
        <v>35</v>
      </c>
      <c r="G27" s="5">
        <f>Tabla1[[#This Row],[FECHA]]+Tabla1[[#This Row],[HORA]]</f>
        <v>45386.395833333336</v>
      </c>
      <c r="H27" s="9" t="str">
        <f ca="1">IF(Tabla1[[#This Row],[FECHA]]=TODAY(),"HOY","")</f>
        <v/>
      </c>
    </row>
    <row r="28" spans="1:8" x14ac:dyDescent="0.25">
      <c r="A28" s="2">
        <v>45386</v>
      </c>
      <c r="B28" s="7">
        <v>0.39583333333333331</v>
      </c>
      <c r="C28" s="1" t="s">
        <v>14</v>
      </c>
      <c r="D28" s="4" t="s">
        <v>6</v>
      </c>
      <c r="E28" s="11">
        <v>606</v>
      </c>
      <c r="F28" s="11" t="s">
        <v>35</v>
      </c>
      <c r="G28" s="5">
        <f>Tabla1[[#This Row],[FECHA]]+Tabla1[[#This Row],[HORA]]</f>
        <v>45386.395833333336</v>
      </c>
      <c r="H28" s="9" t="str">
        <f ca="1">IF(Tabla1[[#This Row],[FECHA]]=TODAY(),"HOY","")</f>
        <v/>
      </c>
    </row>
    <row r="29" spans="1:8" x14ac:dyDescent="0.25">
      <c r="A29" s="2">
        <v>45386</v>
      </c>
      <c r="B29" s="7">
        <v>0.39583333333333331</v>
      </c>
      <c r="C29" s="1" t="s">
        <v>22</v>
      </c>
      <c r="D29" s="4" t="s">
        <v>6</v>
      </c>
      <c r="E29" s="11">
        <v>21461</v>
      </c>
      <c r="F29" s="21" t="s">
        <v>35</v>
      </c>
      <c r="G29" s="5">
        <f>Tabla1[[#This Row],[FECHA]]+Tabla1[[#This Row],[HORA]]</f>
        <v>45386.395833333336</v>
      </c>
      <c r="H29" s="9" t="str">
        <f ca="1">IF(Tabla1[[#This Row],[FECHA]]=TODAY(),"HOY","")</f>
        <v/>
      </c>
    </row>
    <row r="30" spans="1:8" x14ac:dyDescent="0.25">
      <c r="A30" s="2">
        <v>45386</v>
      </c>
      <c r="B30" s="7">
        <v>0.39583333333333331</v>
      </c>
      <c r="C30" s="1" t="s">
        <v>22</v>
      </c>
      <c r="D30" s="4" t="s">
        <v>7</v>
      </c>
      <c r="E30" s="11">
        <v>20738</v>
      </c>
      <c r="F30" s="11" t="s">
        <v>35</v>
      </c>
      <c r="G30" s="5">
        <f>Tabla1[[#This Row],[FECHA]]+Tabla1[[#This Row],[HORA]]</f>
        <v>45386.395833333336</v>
      </c>
      <c r="H30" s="9" t="str">
        <f ca="1">IF(Tabla1[[#This Row],[FECHA]]=TODAY(),"HOY","")</f>
        <v/>
      </c>
    </row>
    <row r="31" spans="1:8" x14ac:dyDescent="0.25">
      <c r="A31" s="2">
        <v>45386</v>
      </c>
      <c r="B31" s="7">
        <v>0.41666666666666669</v>
      </c>
      <c r="C31" s="1" t="s">
        <v>22</v>
      </c>
      <c r="D31" s="4" t="s">
        <v>4</v>
      </c>
      <c r="E31" s="11">
        <v>21620</v>
      </c>
      <c r="F31" s="21" t="s">
        <v>35</v>
      </c>
      <c r="G31" s="5">
        <f>Tabla1[[#This Row],[FECHA]]+Tabla1[[#This Row],[HORA]]</f>
        <v>45386.416666666664</v>
      </c>
      <c r="H31" s="9" t="str">
        <f ca="1">IF(Tabla1[[#This Row],[FECHA]]=TODAY(),"HOY","")</f>
        <v/>
      </c>
    </row>
    <row r="32" spans="1:8" x14ac:dyDescent="0.25">
      <c r="A32" s="2">
        <v>45386</v>
      </c>
      <c r="B32" s="7">
        <v>0.4375</v>
      </c>
      <c r="C32" s="1" t="s">
        <v>10</v>
      </c>
      <c r="D32" s="4" t="s">
        <v>4</v>
      </c>
      <c r="E32" s="11">
        <v>2811</v>
      </c>
      <c r="F32" s="11" t="s">
        <v>35</v>
      </c>
      <c r="G32" s="5">
        <f>Tabla1[[#This Row],[FECHA]]+Tabla1[[#This Row],[HORA]]</f>
        <v>45386.4375</v>
      </c>
      <c r="H32" s="9" t="str">
        <f ca="1">IF(Tabla1[[#This Row],[FECHA]]=TODAY(),"HOY","")</f>
        <v/>
      </c>
    </row>
    <row r="33" spans="1:8" x14ac:dyDescent="0.25">
      <c r="A33" s="2">
        <v>45386</v>
      </c>
      <c r="B33" s="7">
        <v>0.4375</v>
      </c>
      <c r="C33" s="1" t="s">
        <v>18</v>
      </c>
      <c r="D33" s="4" t="s">
        <v>4</v>
      </c>
      <c r="E33" s="11">
        <v>162</v>
      </c>
      <c r="F33" s="11" t="s">
        <v>35</v>
      </c>
      <c r="G33" s="5">
        <f>Tabla1[[#This Row],[FECHA]]+Tabla1[[#This Row],[HORA]]</f>
        <v>45386.4375</v>
      </c>
      <c r="H33" s="9" t="str">
        <f ca="1">IF(Tabla1[[#This Row],[FECHA]]=TODAY(),"HOY","")</f>
        <v/>
      </c>
    </row>
    <row r="34" spans="1:8" x14ac:dyDescent="0.25">
      <c r="A34" s="2">
        <v>45386</v>
      </c>
      <c r="B34" s="7">
        <v>0.4375</v>
      </c>
      <c r="C34" s="1" t="s">
        <v>20</v>
      </c>
      <c r="D34" s="4" t="s">
        <v>4</v>
      </c>
      <c r="E34" s="11">
        <v>121</v>
      </c>
      <c r="F34" s="11" t="s">
        <v>35</v>
      </c>
      <c r="G34" s="5">
        <f>Tabla1[[#This Row],[FECHA]]+Tabla1[[#This Row],[HORA]]</f>
        <v>45386.4375</v>
      </c>
      <c r="H34" s="9" t="str">
        <f ca="1">IF(Tabla1[[#This Row],[FECHA]]=TODAY(),"HOY","")</f>
        <v/>
      </c>
    </row>
    <row r="35" spans="1:8" x14ac:dyDescent="0.25">
      <c r="A35" s="2">
        <v>45386</v>
      </c>
      <c r="B35" s="7">
        <v>0.4375</v>
      </c>
      <c r="C35" s="1" t="s">
        <v>21</v>
      </c>
      <c r="D35" s="4" t="s">
        <v>4</v>
      </c>
      <c r="E35" s="11">
        <v>877</v>
      </c>
      <c r="F35" s="11" t="s">
        <v>35</v>
      </c>
      <c r="G35" s="5">
        <f>Tabla1[[#This Row],[FECHA]]+Tabla1[[#This Row],[HORA]]</f>
        <v>45386.4375</v>
      </c>
      <c r="H35" s="9" t="str">
        <f ca="1">IF(Tabla1[[#This Row],[FECHA]]=TODAY(),"HOY","")</f>
        <v/>
      </c>
    </row>
    <row r="36" spans="1:8" x14ac:dyDescent="0.25">
      <c r="A36" s="2">
        <v>45386</v>
      </c>
      <c r="B36" s="7">
        <v>0.4375</v>
      </c>
      <c r="C36" s="1" t="s">
        <v>11</v>
      </c>
      <c r="D36" s="4" t="s">
        <v>4</v>
      </c>
      <c r="E36" s="11">
        <v>548</v>
      </c>
      <c r="F36" s="11" t="s">
        <v>35</v>
      </c>
      <c r="G36" s="5">
        <f>Tabla1[[#This Row],[FECHA]]+Tabla1[[#This Row],[HORA]]</f>
        <v>45386.4375</v>
      </c>
      <c r="H36" s="9" t="str">
        <f ca="1">IF(Tabla1[[#This Row],[FECHA]]=TODAY(),"HOY","")</f>
        <v/>
      </c>
    </row>
    <row r="37" spans="1:8" x14ac:dyDescent="0.25">
      <c r="A37" s="2">
        <v>45386</v>
      </c>
      <c r="B37" s="7">
        <v>0.4375</v>
      </c>
      <c r="C37" s="1" t="s">
        <v>12</v>
      </c>
      <c r="D37" s="4" t="s">
        <v>4</v>
      </c>
      <c r="E37" s="11">
        <v>6115</v>
      </c>
      <c r="F37" s="11" t="s">
        <v>35</v>
      </c>
      <c r="G37" s="5">
        <f>Tabla1[[#This Row],[FECHA]]+Tabla1[[#This Row],[HORA]]</f>
        <v>45386.4375</v>
      </c>
      <c r="H37" s="9" t="str">
        <f ca="1">IF(Tabla1[[#This Row],[FECHA]]=TODAY(),"HOY","")</f>
        <v/>
      </c>
    </row>
    <row r="38" spans="1:8" x14ac:dyDescent="0.25">
      <c r="A38" s="2">
        <v>45386</v>
      </c>
      <c r="B38" s="7">
        <v>0.4375</v>
      </c>
      <c r="C38" s="1" t="s">
        <v>14</v>
      </c>
      <c r="D38" s="4" t="s">
        <v>4</v>
      </c>
      <c r="E38" s="11">
        <v>654</v>
      </c>
      <c r="F38" s="11" t="s">
        <v>35</v>
      </c>
      <c r="G38" s="5">
        <f>Tabla1[[#This Row],[FECHA]]+Tabla1[[#This Row],[HORA]]</f>
        <v>45386.4375</v>
      </c>
      <c r="H38" s="9" t="str">
        <f ca="1">IF(Tabla1[[#This Row],[FECHA]]=TODAY(),"HOY","")</f>
        <v/>
      </c>
    </row>
    <row r="39" spans="1:8" x14ac:dyDescent="0.25">
      <c r="A39" s="2">
        <v>45386</v>
      </c>
      <c r="B39" s="7">
        <v>0.44444444444444442</v>
      </c>
      <c r="C39" s="1" t="s">
        <v>22</v>
      </c>
      <c r="D39" s="4" t="s">
        <v>17</v>
      </c>
      <c r="E39" s="11">
        <v>15928</v>
      </c>
      <c r="F39" s="11" t="s">
        <v>35</v>
      </c>
      <c r="G39" s="5">
        <f>Tabla1[[#This Row],[FECHA]]+Tabla1[[#This Row],[HORA]]</f>
        <v>45386.444444444445</v>
      </c>
      <c r="H39" s="9" t="str">
        <f ca="1">IF(Tabla1[[#This Row],[FECHA]]=TODAY(),"HOY","")</f>
        <v/>
      </c>
    </row>
    <row r="40" spans="1:8" x14ac:dyDescent="0.25">
      <c r="A40" s="2">
        <v>45386</v>
      </c>
      <c r="B40" s="7">
        <v>0.625</v>
      </c>
      <c r="C40" s="1" t="s">
        <v>22</v>
      </c>
      <c r="D40" s="4" t="s">
        <v>4</v>
      </c>
      <c r="E40" s="11">
        <v>21506</v>
      </c>
      <c r="F40" s="11" t="s">
        <v>35</v>
      </c>
      <c r="G40" s="5">
        <f>Tabla1[[#This Row],[FECHA]]+Tabla1[[#This Row],[HORA]]</f>
        <v>45386.625</v>
      </c>
      <c r="H40" s="9" t="str">
        <f ca="1">IF(Tabla1[[#This Row],[FECHA]]=TODAY(),"HOY","")</f>
        <v/>
      </c>
    </row>
    <row r="41" spans="1:8" x14ac:dyDescent="0.25">
      <c r="A41" s="2">
        <v>45387</v>
      </c>
      <c r="B41" s="7">
        <v>0.40277777777777773</v>
      </c>
      <c r="C41" s="1" t="s">
        <v>10</v>
      </c>
      <c r="D41" s="4" t="s">
        <v>6</v>
      </c>
      <c r="E41" s="11">
        <v>18354</v>
      </c>
      <c r="F41" s="11" t="s">
        <v>35</v>
      </c>
      <c r="G41" s="5">
        <f>Tabla1[[#This Row],[FECHA]]+Tabla1[[#This Row],[HORA]]</f>
        <v>45387.402777777781</v>
      </c>
      <c r="H41" s="9" t="str">
        <f ca="1">IF(Tabla1[[#This Row],[FECHA]]=TODAY(),"HOY","")</f>
        <v/>
      </c>
    </row>
    <row r="42" spans="1:8" x14ac:dyDescent="0.25">
      <c r="A42" s="2">
        <v>45387</v>
      </c>
      <c r="B42" s="7">
        <v>0.40277777777777773</v>
      </c>
      <c r="C42" s="1" t="s">
        <v>11</v>
      </c>
      <c r="D42" s="4" t="s">
        <v>6</v>
      </c>
      <c r="E42" s="11">
        <v>2717</v>
      </c>
      <c r="F42" s="11" t="s">
        <v>35</v>
      </c>
      <c r="G42" s="5">
        <f>Tabla1[[#This Row],[FECHA]]+Tabla1[[#This Row],[HORA]]</f>
        <v>45387.402777777781</v>
      </c>
      <c r="H42" s="9" t="str">
        <f ca="1">IF(Tabla1[[#This Row],[FECHA]]=TODAY(),"HOY","")</f>
        <v/>
      </c>
    </row>
    <row r="43" spans="1:8" x14ac:dyDescent="0.25">
      <c r="A43" s="2">
        <v>45387</v>
      </c>
      <c r="B43" s="7">
        <v>0.40277777777777773</v>
      </c>
      <c r="C43" s="1" t="s">
        <v>10</v>
      </c>
      <c r="D43" s="4" t="s">
        <v>7</v>
      </c>
      <c r="E43" s="11">
        <v>16802</v>
      </c>
      <c r="F43" s="11" t="s">
        <v>35</v>
      </c>
      <c r="G43" s="5">
        <f>Tabla1[[#This Row],[FECHA]]+Tabla1[[#This Row],[HORA]]</f>
        <v>45387.402777777781</v>
      </c>
      <c r="H43" s="9" t="str">
        <f ca="1">IF(Tabla1[[#This Row],[FECHA]]=TODAY(),"HOY","")</f>
        <v/>
      </c>
    </row>
    <row r="44" spans="1:8" x14ac:dyDescent="0.25">
      <c r="A44" s="2">
        <v>45387</v>
      </c>
      <c r="B44" s="7">
        <v>0.40277777777777773</v>
      </c>
      <c r="C44" s="1" t="s">
        <v>11</v>
      </c>
      <c r="D44" s="4" t="s">
        <v>7</v>
      </c>
      <c r="E44" s="11">
        <v>2476</v>
      </c>
      <c r="F44" s="11" t="s">
        <v>35</v>
      </c>
      <c r="G44" s="5">
        <f>Tabla1[[#This Row],[FECHA]]+Tabla1[[#This Row],[HORA]]</f>
        <v>45387.402777777781</v>
      </c>
      <c r="H44" s="9" t="str">
        <f ca="1">IF(Tabla1[[#This Row],[FECHA]]=TODAY(),"HOY","")</f>
        <v/>
      </c>
    </row>
    <row r="45" spans="1:8" x14ac:dyDescent="0.25">
      <c r="A45" s="2">
        <v>45387</v>
      </c>
      <c r="B45" s="7">
        <v>0.41666666666666669</v>
      </c>
      <c r="C45" s="1" t="s">
        <v>11</v>
      </c>
      <c r="D45" s="4" t="s">
        <v>4</v>
      </c>
      <c r="E45" s="11">
        <v>23733</v>
      </c>
      <c r="F45" s="11" t="s">
        <v>35</v>
      </c>
      <c r="G45" s="5">
        <f>Tabla1[[#This Row],[FECHA]]+Tabla1[[#This Row],[HORA]]</f>
        <v>45387.416666666664</v>
      </c>
      <c r="H45" s="9" t="str">
        <f ca="1">IF(Tabla1[[#This Row],[FECHA]]=TODAY(),"HOY","")</f>
        <v/>
      </c>
    </row>
    <row r="46" spans="1:8" x14ac:dyDescent="0.25">
      <c r="A46" s="2">
        <v>45387</v>
      </c>
      <c r="B46" s="7">
        <v>0.41666666666666669</v>
      </c>
      <c r="C46" s="1" t="s">
        <v>22</v>
      </c>
      <c r="D46" s="4" t="s">
        <v>4</v>
      </c>
      <c r="E46" s="11">
        <v>23733</v>
      </c>
      <c r="F46" s="11" t="s">
        <v>35</v>
      </c>
      <c r="G46" s="5">
        <f>Tabla1[[#This Row],[FECHA]]+Tabla1[[#This Row],[HORA]]</f>
        <v>45387.416666666664</v>
      </c>
      <c r="H46" s="9" t="str">
        <f ca="1">IF(Tabla1[[#This Row],[FECHA]]=TODAY(),"HOY","")</f>
        <v/>
      </c>
    </row>
    <row r="47" spans="1:8" x14ac:dyDescent="0.25">
      <c r="A47" s="2">
        <v>45387</v>
      </c>
      <c r="B47" s="7">
        <v>0.4236111111111111</v>
      </c>
      <c r="C47" s="1" t="s">
        <v>11</v>
      </c>
      <c r="D47" s="4" t="s">
        <v>17</v>
      </c>
      <c r="E47" s="11">
        <v>1602</v>
      </c>
      <c r="F47" s="11" t="s">
        <v>35</v>
      </c>
      <c r="G47" s="5">
        <f>Tabla1[[#This Row],[FECHA]]+Tabla1[[#This Row],[HORA]]</f>
        <v>45387.423611111109</v>
      </c>
      <c r="H47" s="9" t="str">
        <f ca="1">IF(Tabla1[[#This Row],[FECHA]]=TODAY(),"HOY","")</f>
        <v/>
      </c>
    </row>
    <row r="48" spans="1:8" x14ac:dyDescent="0.25">
      <c r="A48" s="2">
        <v>45387</v>
      </c>
      <c r="B48" s="7">
        <v>0.45833333333333331</v>
      </c>
      <c r="C48" s="1" t="s">
        <v>10</v>
      </c>
      <c r="D48" s="4" t="s">
        <v>4</v>
      </c>
      <c r="E48" s="11">
        <v>16589</v>
      </c>
      <c r="F48" s="11" t="s">
        <v>35</v>
      </c>
      <c r="G48" s="5">
        <f>Tabla1[[#This Row],[FECHA]]+Tabla1[[#This Row],[HORA]]</f>
        <v>45387.458333333336</v>
      </c>
      <c r="H48" s="9" t="str">
        <f ca="1">IF(Tabla1[[#This Row],[FECHA]]=TODAY(),"HOY","")</f>
        <v/>
      </c>
    </row>
    <row r="49" spans="1:8" x14ac:dyDescent="0.25">
      <c r="A49" s="2">
        <v>45387</v>
      </c>
      <c r="B49" s="7">
        <v>0.5</v>
      </c>
      <c r="C49" s="1" t="s">
        <v>13</v>
      </c>
      <c r="D49" s="4" t="s">
        <v>6</v>
      </c>
      <c r="E49" s="11">
        <v>101346</v>
      </c>
      <c r="F49" s="11" t="s">
        <v>35</v>
      </c>
      <c r="G49" s="5">
        <f>Tabla1[[#This Row],[FECHA]]+Tabla1[[#This Row],[HORA]]</f>
        <v>45387.5</v>
      </c>
      <c r="H49" s="9" t="str">
        <f ca="1">IF(Tabla1[[#This Row],[FECHA]]=TODAY(),"HOY","")</f>
        <v/>
      </c>
    </row>
    <row r="50" spans="1:8" x14ac:dyDescent="0.25">
      <c r="A50" s="2">
        <v>45387</v>
      </c>
      <c r="B50" s="7">
        <v>0.5</v>
      </c>
      <c r="C50" s="1" t="s">
        <v>22</v>
      </c>
      <c r="D50" s="4" t="s">
        <v>7</v>
      </c>
      <c r="E50" s="11">
        <v>21063</v>
      </c>
      <c r="F50" s="11" t="s">
        <v>35</v>
      </c>
      <c r="G50" s="5">
        <f>Tabla1[[#This Row],[FECHA]]+Tabla1[[#This Row],[HORA]]</f>
        <v>45387.5</v>
      </c>
      <c r="H50" s="9" t="str">
        <f ca="1">IF(Tabla1[[#This Row],[FECHA]]=TODAY(),"HOY","")</f>
        <v/>
      </c>
    </row>
    <row r="51" spans="1:8" x14ac:dyDescent="0.25">
      <c r="A51" s="2">
        <v>45387</v>
      </c>
      <c r="B51" s="7">
        <v>0.5</v>
      </c>
      <c r="C51" s="1" t="s">
        <v>13</v>
      </c>
      <c r="D51" s="4" t="s">
        <v>4</v>
      </c>
      <c r="E51" s="11">
        <v>110856</v>
      </c>
      <c r="F51" s="11" t="s">
        <v>35</v>
      </c>
      <c r="G51" s="5">
        <f>Tabla1[[#This Row],[FECHA]]+Tabla1[[#This Row],[HORA]]</f>
        <v>45387.5</v>
      </c>
      <c r="H51" s="9" t="str">
        <f ca="1">IF(Tabla1[[#This Row],[FECHA]]=TODAY(),"HOY","")</f>
        <v/>
      </c>
    </row>
    <row r="52" spans="1:8" x14ac:dyDescent="0.25">
      <c r="A52" s="2">
        <v>45387</v>
      </c>
      <c r="B52" s="7">
        <v>0.5</v>
      </c>
      <c r="C52" s="1" t="s">
        <v>13</v>
      </c>
      <c r="D52" s="4" t="s">
        <v>4</v>
      </c>
      <c r="E52" s="11">
        <v>110856</v>
      </c>
      <c r="F52" s="11" t="s">
        <v>35</v>
      </c>
      <c r="G52" s="5">
        <f>Tabla1[[#This Row],[FECHA]]+Tabla1[[#This Row],[HORA]]</f>
        <v>45387.5</v>
      </c>
      <c r="H52" s="9" t="str">
        <f ca="1">IF(Tabla1[[#This Row],[FECHA]]=TODAY(),"HOY","")</f>
        <v/>
      </c>
    </row>
    <row r="53" spans="1:8" x14ac:dyDescent="0.25">
      <c r="A53" s="2">
        <v>45387</v>
      </c>
      <c r="B53" s="7">
        <v>0.5</v>
      </c>
      <c r="C53" s="1" t="s">
        <v>18</v>
      </c>
      <c r="D53" s="4" t="s">
        <v>4</v>
      </c>
      <c r="E53" s="11">
        <v>1574</v>
      </c>
      <c r="F53" s="11" t="s">
        <v>35</v>
      </c>
      <c r="G53" s="5">
        <f>Tabla1[[#This Row],[FECHA]]+Tabla1[[#This Row],[HORA]]</f>
        <v>45387.5</v>
      </c>
      <c r="H53" s="9" t="str">
        <f ca="1">IF(Tabla1[[#This Row],[FECHA]]=TODAY(),"HOY","")</f>
        <v/>
      </c>
    </row>
    <row r="54" spans="1:8" x14ac:dyDescent="0.25">
      <c r="A54" s="2">
        <v>45387</v>
      </c>
      <c r="B54" s="7">
        <v>0.5</v>
      </c>
      <c r="C54" s="1" t="s">
        <v>20</v>
      </c>
      <c r="D54" s="4" t="s">
        <v>4</v>
      </c>
      <c r="E54" s="11">
        <v>1120</v>
      </c>
      <c r="F54" s="11" t="s">
        <v>35</v>
      </c>
      <c r="G54" s="5">
        <f>Tabla1[[#This Row],[FECHA]]+Tabla1[[#This Row],[HORA]]</f>
        <v>45387.5</v>
      </c>
      <c r="H54" s="9" t="str">
        <f ca="1">IF(Tabla1[[#This Row],[FECHA]]=TODAY(),"HOY","")</f>
        <v/>
      </c>
    </row>
    <row r="55" spans="1:8" x14ac:dyDescent="0.25">
      <c r="A55" s="2">
        <v>45387</v>
      </c>
      <c r="B55" s="7">
        <v>0.5</v>
      </c>
      <c r="C55" s="1" t="s">
        <v>21</v>
      </c>
      <c r="D55" s="4" t="s">
        <v>4</v>
      </c>
      <c r="E55" s="11">
        <v>16890</v>
      </c>
      <c r="F55" s="11" t="s">
        <v>35</v>
      </c>
      <c r="G55" s="5">
        <f>Tabla1[[#This Row],[FECHA]]+Tabla1[[#This Row],[HORA]]</f>
        <v>45387.5</v>
      </c>
      <c r="H55" s="9" t="str">
        <f ca="1">IF(Tabla1[[#This Row],[FECHA]]=TODAY(),"HOY","")</f>
        <v/>
      </c>
    </row>
    <row r="56" spans="1:8" x14ac:dyDescent="0.25">
      <c r="A56" s="2">
        <v>45387</v>
      </c>
      <c r="B56" s="7">
        <v>0.5</v>
      </c>
      <c r="C56" s="1" t="s">
        <v>11</v>
      </c>
      <c r="D56" s="4" t="s">
        <v>4</v>
      </c>
      <c r="E56" s="11">
        <v>2387</v>
      </c>
      <c r="F56" s="11" t="s">
        <v>35</v>
      </c>
      <c r="G56" s="5">
        <f>Tabla1[[#This Row],[FECHA]]+Tabla1[[#This Row],[HORA]]</f>
        <v>45387.5</v>
      </c>
      <c r="H56" s="9" t="str">
        <f ca="1">IF(Tabla1[[#This Row],[FECHA]]=TODAY(),"HOY","")</f>
        <v/>
      </c>
    </row>
    <row r="57" spans="1:8" x14ac:dyDescent="0.25">
      <c r="A57" s="2">
        <v>45387</v>
      </c>
      <c r="B57" s="7">
        <v>0.5</v>
      </c>
      <c r="C57" s="1" t="s">
        <v>12</v>
      </c>
      <c r="D57" s="4" t="s">
        <v>4</v>
      </c>
      <c r="E57" s="11">
        <v>6456</v>
      </c>
      <c r="F57" s="11" t="s">
        <v>35</v>
      </c>
      <c r="G57" s="5">
        <f>Tabla1[[#This Row],[FECHA]]+Tabla1[[#This Row],[HORA]]</f>
        <v>45387.5</v>
      </c>
      <c r="H57" s="9" t="str">
        <f ca="1">IF(Tabla1[[#This Row],[FECHA]]=TODAY(),"HOY","")</f>
        <v/>
      </c>
    </row>
    <row r="58" spans="1:8" x14ac:dyDescent="0.25">
      <c r="A58" s="2">
        <v>45387</v>
      </c>
      <c r="B58" s="7">
        <v>0.5</v>
      </c>
      <c r="C58" s="1" t="s">
        <v>14</v>
      </c>
      <c r="D58" s="4" t="s">
        <v>4</v>
      </c>
      <c r="E58" s="11">
        <v>1617</v>
      </c>
      <c r="F58" s="11" t="s">
        <v>35</v>
      </c>
      <c r="G58" s="5">
        <f>Tabla1[[#This Row],[FECHA]]+Tabla1[[#This Row],[HORA]]</f>
        <v>45387.5</v>
      </c>
      <c r="H58" s="9" t="str">
        <f ca="1">IF(Tabla1[[#This Row],[FECHA]]=TODAY(),"HOY","")</f>
        <v/>
      </c>
    </row>
    <row r="59" spans="1:8" x14ac:dyDescent="0.25">
      <c r="A59" s="2">
        <v>45387</v>
      </c>
      <c r="B59" s="7">
        <v>0.5</v>
      </c>
      <c r="C59" s="1" t="s">
        <v>22</v>
      </c>
      <c r="D59" s="4" t="s">
        <v>4</v>
      </c>
      <c r="E59" s="11">
        <v>21345</v>
      </c>
      <c r="F59" s="11" t="s">
        <v>35</v>
      </c>
      <c r="G59" s="5">
        <f>Tabla1[[#This Row],[FECHA]]+Tabla1[[#This Row],[HORA]]</f>
        <v>45387.5</v>
      </c>
      <c r="H59" s="9" t="str">
        <f ca="1">IF(Tabla1[[#This Row],[FECHA]]=TODAY(),"HOY","")</f>
        <v/>
      </c>
    </row>
    <row r="60" spans="1:8" x14ac:dyDescent="0.25">
      <c r="A60" s="2">
        <v>45387</v>
      </c>
      <c r="B60" s="7">
        <v>0.625</v>
      </c>
      <c r="C60" s="1" t="s">
        <v>12</v>
      </c>
      <c r="D60" s="4" t="s">
        <v>4</v>
      </c>
      <c r="E60" s="11">
        <v>6421</v>
      </c>
      <c r="F60" s="11" t="s">
        <v>35</v>
      </c>
      <c r="G60" s="5">
        <f>Tabla1[[#This Row],[FECHA]]+Tabla1[[#This Row],[HORA]]</f>
        <v>45387.625</v>
      </c>
      <c r="H60" s="9" t="str">
        <f ca="1">IF(Tabla1[[#This Row],[FECHA]]=TODAY(),"HOY","")</f>
        <v/>
      </c>
    </row>
    <row r="61" spans="1:8" x14ac:dyDescent="0.25">
      <c r="A61" s="2">
        <v>45387</v>
      </c>
      <c r="B61" s="7">
        <v>0.66666666666666663</v>
      </c>
      <c r="C61" s="1" t="s">
        <v>10</v>
      </c>
      <c r="D61" s="4" t="s">
        <v>4</v>
      </c>
      <c r="E61" s="11">
        <v>14231</v>
      </c>
      <c r="F61" s="11" t="s">
        <v>35</v>
      </c>
      <c r="G61" s="5">
        <f>Tabla1[[#This Row],[FECHA]]+Tabla1[[#This Row],[HORA]]</f>
        <v>45387.666666666664</v>
      </c>
      <c r="H61" s="9" t="str">
        <f ca="1">IF(Tabla1[[#This Row],[FECHA]]=TODAY(),"HOY","")</f>
        <v/>
      </c>
    </row>
    <row r="62" spans="1:8" x14ac:dyDescent="0.25">
      <c r="A62" s="2">
        <v>45387</v>
      </c>
      <c r="B62" s="7">
        <v>0.66666666666666663</v>
      </c>
      <c r="C62" s="1" t="s">
        <v>22</v>
      </c>
      <c r="D62" s="4" t="s">
        <v>4</v>
      </c>
      <c r="E62" s="11">
        <v>21221</v>
      </c>
      <c r="F62" s="11" t="s">
        <v>35</v>
      </c>
      <c r="G62" s="5">
        <f>Tabla1[[#This Row],[FECHA]]+Tabla1[[#This Row],[HORA]]</f>
        <v>45387.666666666664</v>
      </c>
      <c r="H62" s="9" t="str">
        <f ca="1">IF(Tabla1[[#This Row],[FECHA]]=TODAY(),"HOY","")</f>
        <v/>
      </c>
    </row>
    <row r="63" spans="1:8" x14ac:dyDescent="0.25">
      <c r="A63" s="2">
        <v>45387</v>
      </c>
      <c r="B63" s="7">
        <v>0.70833333333333337</v>
      </c>
      <c r="C63" s="1" t="s">
        <v>11</v>
      </c>
      <c r="D63" s="4" t="s">
        <v>4</v>
      </c>
      <c r="E63" s="11">
        <v>2269</v>
      </c>
      <c r="F63" s="11" t="s">
        <v>35</v>
      </c>
      <c r="G63" s="5">
        <f>Tabla1[[#This Row],[FECHA]]+Tabla1[[#This Row],[HORA]]</f>
        <v>45387.708333333336</v>
      </c>
      <c r="H63" s="9" t="str">
        <f ca="1">IF(Tabla1[[#This Row],[FECHA]]=TODAY(),"HOY","")</f>
        <v/>
      </c>
    </row>
    <row r="64" spans="1:8" x14ac:dyDescent="0.25">
      <c r="A64" s="2">
        <v>45388</v>
      </c>
      <c r="B64" s="7">
        <v>0.39583333333333331</v>
      </c>
      <c r="C64" s="1" t="s">
        <v>10</v>
      </c>
      <c r="D64" s="4" t="s">
        <v>6</v>
      </c>
      <c r="E64" s="11">
        <v>15604</v>
      </c>
      <c r="F64" s="11" t="s">
        <v>35</v>
      </c>
      <c r="G64" s="5">
        <f>Tabla1[[#This Row],[FECHA]]+Tabla1[[#This Row],[HORA]]</f>
        <v>45388.395833333336</v>
      </c>
      <c r="H64" s="9" t="str">
        <f ca="1">IF(Tabla1[[#This Row],[FECHA]]=TODAY(),"HOY","")</f>
        <v/>
      </c>
    </row>
    <row r="65" spans="1:8" x14ac:dyDescent="0.25">
      <c r="A65" s="2">
        <v>45388</v>
      </c>
      <c r="B65" s="7">
        <v>0.39583333333333331</v>
      </c>
      <c r="C65" s="1" t="s">
        <v>11</v>
      </c>
      <c r="D65" s="4" t="s">
        <v>6</v>
      </c>
      <c r="E65" s="11">
        <v>5998</v>
      </c>
      <c r="F65" s="11" t="s">
        <v>35</v>
      </c>
      <c r="G65" s="5">
        <f>Tabla1[[#This Row],[FECHA]]+Tabla1[[#This Row],[HORA]]</f>
        <v>45388.395833333336</v>
      </c>
      <c r="H65" s="9" t="str">
        <f ca="1">IF(Tabla1[[#This Row],[FECHA]]=TODAY(),"HOY","")</f>
        <v/>
      </c>
    </row>
    <row r="66" spans="1:8" x14ac:dyDescent="0.25">
      <c r="A66" s="2">
        <v>45388</v>
      </c>
      <c r="B66" s="7">
        <v>0.39583333333333331</v>
      </c>
      <c r="C66" s="1" t="s">
        <v>12</v>
      </c>
      <c r="D66" s="4" t="s">
        <v>6</v>
      </c>
      <c r="E66" s="11">
        <v>7473</v>
      </c>
      <c r="F66" s="11" t="s">
        <v>35</v>
      </c>
      <c r="G66" s="5">
        <f>Tabla1[[#This Row],[FECHA]]+Tabla1[[#This Row],[HORA]]</f>
        <v>45388.395833333336</v>
      </c>
      <c r="H66" s="9" t="str">
        <f ca="1">IF(Tabla1[[#This Row],[FECHA]]=TODAY(),"HOY","")</f>
        <v/>
      </c>
    </row>
    <row r="67" spans="1:8" x14ac:dyDescent="0.25">
      <c r="A67" s="2">
        <v>45388</v>
      </c>
      <c r="B67" s="7">
        <v>0.39583333333333331</v>
      </c>
      <c r="C67" s="1" t="s">
        <v>22</v>
      </c>
      <c r="D67" s="4" t="s">
        <v>7</v>
      </c>
      <c r="E67" s="11">
        <v>31516</v>
      </c>
      <c r="F67" s="11" t="s">
        <v>35</v>
      </c>
      <c r="G67" s="5">
        <f>Tabla1[[#This Row],[FECHA]]+Tabla1[[#This Row],[HORA]]</f>
        <v>45388.395833333336</v>
      </c>
      <c r="H67" s="9" t="str">
        <f ca="1">IF(Tabla1[[#This Row],[FECHA]]=TODAY(),"HOY","")</f>
        <v/>
      </c>
    </row>
    <row r="68" spans="1:8" x14ac:dyDescent="0.25">
      <c r="A68" s="2">
        <v>45388</v>
      </c>
      <c r="B68" s="7">
        <v>0.39583333333333331</v>
      </c>
      <c r="C68" s="1" t="s">
        <v>15</v>
      </c>
      <c r="D68" s="4" t="s">
        <v>7</v>
      </c>
      <c r="E68" s="11">
        <v>37953</v>
      </c>
      <c r="F68" s="11" t="s">
        <v>35</v>
      </c>
      <c r="G68" s="5">
        <f>Tabla1[[#This Row],[FECHA]]+Tabla1[[#This Row],[HORA]]</f>
        <v>45388.395833333336</v>
      </c>
      <c r="H68" s="9" t="str">
        <f ca="1">IF(Tabla1[[#This Row],[FECHA]]=TODAY(),"HOY","")</f>
        <v/>
      </c>
    </row>
    <row r="69" spans="1:8" x14ac:dyDescent="0.25">
      <c r="A69" s="2">
        <v>45388</v>
      </c>
      <c r="B69" s="7">
        <v>0.39583333333333331</v>
      </c>
      <c r="C69" s="1" t="s">
        <v>10</v>
      </c>
      <c r="D69" s="4" t="s">
        <v>4</v>
      </c>
      <c r="E69" s="11">
        <v>16663</v>
      </c>
      <c r="F69" s="11" t="s">
        <v>35</v>
      </c>
      <c r="G69" s="5">
        <f>Tabla1[[#This Row],[FECHA]]+Tabla1[[#This Row],[HORA]]</f>
        <v>45388.395833333336</v>
      </c>
      <c r="H69" s="9" t="str">
        <f ca="1">IF(Tabla1[[#This Row],[FECHA]]=TODAY(),"HOY","")</f>
        <v/>
      </c>
    </row>
    <row r="70" spans="1:8" x14ac:dyDescent="0.25">
      <c r="A70" s="2">
        <v>45388</v>
      </c>
      <c r="B70" s="7">
        <v>0.39583333333333331</v>
      </c>
      <c r="C70" s="1" t="s">
        <v>11</v>
      </c>
      <c r="D70" s="4" t="s">
        <v>4</v>
      </c>
      <c r="E70" s="11">
        <v>5411</v>
      </c>
      <c r="F70" s="11" t="s">
        <v>35</v>
      </c>
      <c r="G70" s="5">
        <f>Tabla1[[#This Row],[FECHA]]+Tabla1[[#This Row],[HORA]]</f>
        <v>45388.395833333336</v>
      </c>
      <c r="H70" s="9" t="str">
        <f ca="1">IF(Tabla1[[#This Row],[FECHA]]=TODAY(),"HOY","")</f>
        <v/>
      </c>
    </row>
    <row r="71" spans="1:8" x14ac:dyDescent="0.25">
      <c r="A71" s="2">
        <v>45388</v>
      </c>
      <c r="B71" s="7">
        <v>0.41666666666666669</v>
      </c>
      <c r="C71" s="1" t="s">
        <v>15</v>
      </c>
      <c r="D71" s="4" t="s">
        <v>17</v>
      </c>
      <c r="E71" s="11">
        <v>25931</v>
      </c>
      <c r="F71" s="11" t="s">
        <v>35</v>
      </c>
      <c r="G71" s="5">
        <f>Tabla1[[#This Row],[FECHA]]+Tabla1[[#This Row],[HORA]]</f>
        <v>45388.416666666664</v>
      </c>
      <c r="H71" s="9" t="str">
        <f ca="1">IF(Tabla1[[#This Row],[FECHA]]=TODAY(),"HOY","")</f>
        <v/>
      </c>
    </row>
    <row r="72" spans="1:8" x14ac:dyDescent="0.25">
      <c r="A72" s="2">
        <v>45388</v>
      </c>
      <c r="B72" s="7">
        <v>0.41666666666666669</v>
      </c>
      <c r="C72" s="1" t="s">
        <v>13</v>
      </c>
      <c r="D72" s="4" t="s">
        <v>4</v>
      </c>
      <c r="E72" s="11">
        <v>128792</v>
      </c>
      <c r="F72" s="11" t="s">
        <v>35</v>
      </c>
      <c r="G72" s="5">
        <f>Tabla1[[#This Row],[FECHA]]+Tabla1[[#This Row],[HORA]]</f>
        <v>45388.416666666664</v>
      </c>
      <c r="H72" s="9" t="str">
        <f ca="1">IF(Tabla1[[#This Row],[FECHA]]=TODAY(),"HOY","")</f>
        <v/>
      </c>
    </row>
    <row r="73" spans="1:8" x14ac:dyDescent="0.25">
      <c r="A73" s="2">
        <v>45388</v>
      </c>
      <c r="B73" s="7">
        <v>0.41666666666666669</v>
      </c>
      <c r="C73" s="1" t="s">
        <v>22</v>
      </c>
      <c r="D73" s="4" t="s">
        <v>4</v>
      </c>
      <c r="E73" s="11">
        <v>32556</v>
      </c>
      <c r="F73" s="11" t="s">
        <v>35</v>
      </c>
      <c r="G73" s="5">
        <f>Tabla1[[#This Row],[FECHA]]+Tabla1[[#This Row],[HORA]]</f>
        <v>45388.416666666664</v>
      </c>
      <c r="H73" s="9" t="str">
        <f ca="1">IF(Tabla1[[#This Row],[FECHA]]=TODAY(),"HOY","")</f>
        <v/>
      </c>
    </row>
    <row r="74" spans="1:8" x14ac:dyDescent="0.25">
      <c r="A74" s="2">
        <v>45388</v>
      </c>
      <c r="B74" s="7">
        <v>0.41666666666666669</v>
      </c>
      <c r="C74" s="1" t="s">
        <v>15</v>
      </c>
      <c r="D74" s="4" t="s">
        <v>4</v>
      </c>
      <c r="E74" s="11">
        <v>39139</v>
      </c>
      <c r="F74" s="11" t="s">
        <v>35</v>
      </c>
      <c r="G74" s="5">
        <f>Tabla1[[#This Row],[FECHA]]+Tabla1[[#This Row],[HORA]]</f>
        <v>45388.416666666664</v>
      </c>
      <c r="H74" s="9" t="str">
        <f ca="1">IF(Tabla1[[#This Row],[FECHA]]=TODAY(),"HOY","")</f>
        <v/>
      </c>
    </row>
    <row r="75" spans="1:8" x14ac:dyDescent="0.25">
      <c r="A75" s="2">
        <v>45388</v>
      </c>
      <c r="B75" s="7">
        <v>0.5</v>
      </c>
      <c r="C75" s="1" t="s">
        <v>18</v>
      </c>
      <c r="D75" s="4" t="s">
        <v>4</v>
      </c>
      <c r="E75" s="24">
        <v>2150</v>
      </c>
      <c r="F75" s="11" t="s">
        <v>35</v>
      </c>
      <c r="G75" s="5">
        <f>Tabla1[[#This Row],[FECHA]]+Tabla1[[#This Row],[HORA]]</f>
        <v>45388.5</v>
      </c>
      <c r="H75" s="9" t="str">
        <f ca="1">IF(Tabla1[[#This Row],[FECHA]]=TODAY(),"HOY","")</f>
        <v/>
      </c>
    </row>
    <row r="76" spans="1:8" x14ac:dyDescent="0.25">
      <c r="A76" s="2">
        <v>45388</v>
      </c>
      <c r="B76" s="7">
        <v>0.5</v>
      </c>
      <c r="C76" s="1" t="s">
        <v>19</v>
      </c>
      <c r="D76" s="4" t="s">
        <v>4</v>
      </c>
      <c r="E76" s="24">
        <v>1999</v>
      </c>
      <c r="F76" s="11" t="s">
        <v>35</v>
      </c>
      <c r="G76" s="5">
        <f>Tabla1[[#This Row],[FECHA]]+Tabla1[[#This Row],[HORA]]</f>
        <v>45388.5</v>
      </c>
      <c r="H76" s="9" t="str">
        <f ca="1">IF(Tabla1[[#This Row],[FECHA]]=TODAY(),"HOY","")</f>
        <v/>
      </c>
    </row>
    <row r="77" spans="1:8" x14ac:dyDescent="0.25">
      <c r="A77" s="2">
        <v>45388</v>
      </c>
      <c r="B77" s="7">
        <v>0.5</v>
      </c>
      <c r="C77" s="1" t="s">
        <v>20</v>
      </c>
      <c r="D77" s="4" t="s">
        <v>4</v>
      </c>
      <c r="E77" s="24">
        <v>1847</v>
      </c>
      <c r="F77" s="11" t="s">
        <v>35</v>
      </c>
      <c r="G77" s="5">
        <f>Tabla1[[#This Row],[FECHA]]+Tabla1[[#This Row],[HORA]]</f>
        <v>45388.5</v>
      </c>
      <c r="H77" s="9" t="str">
        <f ca="1">IF(Tabla1[[#This Row],[FECHA]]=TODAY(),"HOY","")</f>
        <v/>
      </c>
    </row>
    <row r="78" spans="1:8" x14ac:dyDescent="0.25">
      <c r="A78" s="2">
        <v>45388</v>
      </c>
      <c r="B78" s="7">
        <v>0.5</v>
      </c>
      <c r="C78" s="1" t="s">
        <v>21</v>
      </c>
      <c r="D78" s="4" t="s">
        <v>4</v>
      </c>
      <c r="E78" s="24">
        <v>19448</v>
      </c>
      <c r="F78" s="11" t="s">
        <v>35</v>
      </c>
      <c r="G78" s="5">
        <f>Tabla1[[#This Row],[FECHA]]+Tabla1[[#This Row],[HORA]]</f>
        <v>45388.5</v>
      </c>
      <c r="H78" s="9" t="str">
        <f ca="1">IF(Tabla1[[#This Row],[FECHA]]=TODAY(),"HOY","")</f>
        <v/>
      </c>
    </row>
    <row r="79" spans="1:8" x14ac:dyDescent="0.25">
      <c r="A79" s="2">
        <v>45388</v>
      </c>
      <c r="B79" s="7">
        <v>0.5</v>
      </c>
      <c r="C79" s="1" t="s">
        <v>12</v>
      </c>
      <c r="D79" s="4" t="s">
        <v>4</v>
      </c>
      <c r="E79" s="24">
        <v>6725</v>
      </c>
      <c r="F79" s="11" t="s">
        <v>35</v>
      </c>
      <c r="G79" s="5">
        <f>Tabla1[[#This Row],[FECHA]]+Tabla1[[#This Row],[HORA]]</f>
        <v>45388.5</v>
      </c>
      <c r="H79" s="9" t="str">
        <f ca="1">IF(Tabla1[[#This Row],[FECHA]]=TODAY(),"HOY","")</f>
        <v/>
      </c>
    </row>
    <row r="80" spans="1:8" x14ac:dyDescent="0.25">
      <c r="A80" s="2">
        <v>45388</v>
      </c>
      <c r="B80" s="7">
        <v>0.5</v>
      </c>
      <c r="C80" s="1" t="s">
        <v>14</v>
      </c>
      <c r="D80" s="4" t="s">
        <v>4</v>
      </c>
      <c r="E80" s="24">
        <v>2033</v>
      </c>
      <c r="F80" s="11" t="s">
        <v>35</v>
      </c>
      <c r="G80" s="5">
        <f>Tabla1[[#This Row],[FECHA]]+Tabla1[[#This Row],[HORA]]</f>
        <v>45388.5</v>
      </c>
      <c r="H80" s="9" t="str">
        <f ca="1">IF(Tabla1[[#This Row],[FECHA]]=TODAY(),"HOY","")</f>
        <v/>
      </c>
    </row>
    <row r="81" spans="1:8" x14ac:dyDescent="0.25">
      <c r="A81" s="2">
        <v>45388</v>
      </c>
      <c r="B81" s="7">
        <v>0.5</v>
      </c>
      <c r="C81" s="1" t="s">
        <v>38</v>
      </c>
      <c r="D81" s="4" t="s">
        <v>4</v>
      </c>
      <c r="E81" s="24">
        <v>32556</v>
      </c>
      <c r="F81" s="11" t="s">
        <v>35</v>
      </c>
      <c r="G81" s="5">
        <f>Tabla1[[#This Row],[FECHA]]+Tabla1[[#This Row],[HORA]]</f>
        <v>45388.5</v>
      </c>
      <c r="H81" s="9" t="str">
        <f ca="1">IF(Tabla1[[#This Row],[FECHA]]=TODAY(),"HOY","")</f>
        <v/>
      </c>
    </row>
    <row r="82" spans="1:8" x14ac:dyDescent="0.25">
      <c r="A82" s="2">
        <v>45388</v>
      </c>
      <c r="B82" s="7">
        <v>0.5</v>
      </c>
      <c r="C82" s="1" t="s">
        <v>39</v>
      </c>
      <c r="D82" s="4" t="s">
        <v>4</v>
      </c>
      <c r="E82" s="24">
        <v>39139</v>
      </c>
      <c r="F82" s="11" t="s">
        <v>35</v>
      </c>
      <c r="G82" s="5">
        <f>Tabla1[[#This Row],[FECHA]]+Tabla1[[#This Row],[HORA]]</f>
        <v>45388.5</v>
      </c>
      <c r="H82" s="9" t="str">
        <f ca="1">IF(Tabla1[[#This Row],[FECHA]]=TODAY(),"HOY","")</f>
        <v/>
      </c>
    </row>
    <row r="83" spans="1:8" x14ac:dyDescent="0.25">
      <c r="A83" s="2">
        <v>45388</v>
      </c>
      <c r="B83" s="7">
        <v>0.58333333333333337</v>
      </c>
      <c r="C83" s="1" t="s">
        <v>10</v>
      </c>
      <c r="D83" s="4" t="s">
        <v>4</v>
      </c>
      <c r="E83" s="24">
        <v>16444</v>
      </c>
      <c r="F83" s="11" t="s">
        <v>35</v>
      </c>
      <c r="G83" s="5">
        <f>Tabla1[[#This Row],[FECHA]]+Tabla1[[#This Row],[HORA]]</f>
        <v>45388.583333333336</v>
      </c>
      <c r="H83" s="9" t="str">
        <f ca="1">IF(Tabla1[[#This Row],[FECHA]]=TODAY(),"HOY","")</f>
        <v/>
      </c>
    </row>
    <row r="84" spans="1:8" x14ac:dyDescent="0.25">
      <c r="A84" s="2">
        <v>45388</v>
      </c>
      <c r="B84" s="7">
        <v>0.58333333333333337</v>
      </c>
      <c r="C84" s="1" t="s">
        <v>11</v>
      </c>
      <c r="D84" s="4" t="s">
        <v>4</v>
      </c>
      <c r="E84" s="24">
        <v>5461</v>
      </c>
      <c r="F84" s="11" t="s">
        <v>35</v>
      </c>
      <c r="G84" s="5">
        <f>Tabla1[[#This Row],[FECHA]]+Tabla1[[#This Row],[HORA]]</f>
        <v>45388.583333333336</v>
      </c>
      <c r="H84" s="9" t="str">
        <f ca="1">IF(Tabla1[[#This Row],[FECHA]]=TODAY(),"HOY","")</f>
        <v/>
      </c>
    </row>
    <row r="85" spans="1:8" x14ac:dyDescent="0.25">
      <c r="A85" s="2">
        <v>45388</v>
      </c>
      <c r="B85" s="7">
        <v>0.58333333333333337</v>
      </c>
      <c r="C85" s="1" t="s">
        <v>12</v>
      </c>
      <c r="D85" s="4" t="s">
        <v>4</v>
      </c>
      <c r="E85" s="24">
        <v>6725</v>
      </c>
      <c r="F85" s="11" t="s">
        <v>35</v>
      </c>
      <c r="G85" s="5">
        <f>Tabla1[[#This Row],[FECHA]]+Tabla1[[#This Row],[HORA]]</f>
        <v>45388.583333333336</v>
      </c>
      <c r="H85" s="9" t="str">
        <f ca="1">IF(Tabla1[[#This Row],[FECHA]]=TODAY(),"HOY","")</f>
        <v/>
      </c>
    </row>
    <row r="86" spans="1:8" x14ac:dyDescent="0.25">
      <c r="A86" s="2">
        <v>45388</v>
      </c>
      <c r="B86" s="7">
        <v>0.58333333333333337</v>
      </c>
      <c r="C86" s="1" t="s">
        <v>38</v>
      </c>
      <c r="D86" s="4" t="s">
        <v>4</v>
      </c>
      <c r="E86" s="24">
        <v>32556</v>
      </c>
      <c r="F86" s="11" t="s">
        <v>35</v>
      </c>
      <c r="G86" s="5">
        <f>Tabla1[[#This Row],[FECHA]]+Tabla1[[#This Row],[HORA]]</f>
        <v>45388.583333333336</v>
      </c>
      <c r="H86" s="9" t="str">
        <f ca="1">IF(Tabla1[[#This Row],[FECHA]]=TODAY(),"HOY","")</f>
        <v/>
      </c>
    </row>
    <row r="87" spans="1:8" x14ac:dyDescent="0.25">
      <c r="A87" s="2">
        <v>45388</v>
      </c>
      <c r="B87" s="7">
        <v>0.58333333333333337</v>
      </c>
      <c r="C87" s="1" t="s">
        <v>39</v>
      </c>
      <c r="D87" s="4" t="s">
        <v>4</v>
      </c>
      <c r="E87" s="24">
        <v>39139</v>
      </c>
      <c r="F87" s="11" t="s">
        <v>35</v>
      </c>
      <c r="G87" s="5">
        <f>Tabla1[[#This Row],[FECHA]]+Tabla1[[#This Row],[HORA]]</f>
        <v>45388.583333333336</v>
      </c>
      <c r="H87" s="9" t="str">
        <f ca="1">IF(Tabla1[[#This Row],[FECHA]]=TODAY(),"HOY","")</f>
        <v/>
      </c>
    </row>
    <row r="88" spans="1:8" x14ac:dyDescent="0.25">
      <c r="A88" s="2">
        <v>45390</v>
      </c>
      <c r="B88" s="7">
        <v>0.39583333333333331</v>
      </c>
      <c r="C88" s="1" t="s">
        <v>22</v>
      </c>
      <c r="D88" s="4" t="s">
        <v>6</v>
      </c>
      <c r="E88" s="24">
        <v>34078</v>
      </c>
      <c r="F88" s="11" t="s">
        <v>35</v>
      </c>
      <c r="G88" s="5">
        <f>Tabla1[[#This Row],[FECHA]]+Tabla1[[#This Row],[HORA]]</f>
        <v>45390.395833333336</v>
      </c>
      <c r="H88" s="9" t="str">
        <f ca="1">IF(Tabla1[[#This Row],[FECHA]]=TODAY(),"HOY","")</f>
        <v/>
      </c>
    </row>
    <row r="89" spans="1:8" x14ac:dyDescent="0.25">
      <c r="A89" s="2">
        <v>45390</v>
      </c>
      <c r="B89" s="7">
        <v>0.39583333333333331</v>
      </c>
      <c r="C89" s="1" t="s">
        <v>15</v>
      </c>
      <c r="D89" s="4" t="s">
        <v>6</v>
      </c>
      <c r="E89" s="24">
        <v>54471</v>
      </c>
      <c r="F89" s="11" t="s">
        <v>35</v>
      </c>
      <c r="G89" s="5">
        <f>Tabla1[[#This Row],[FECHA]]+Tabla1[[#This Row],[HORA]]</f>
        <v>45390.395833333336</v>
      </c>
      <c r="H89" s="9" t="str">
        <f ca="1">IF(Tabla1[[#This Row],[FECHA]]=TODAY(),"HOY","")</f>
        <v/>
      </c>
    </row>
    <row r="90" spans="1:8" x14ac:dyDescent="0.25">
      <c r="A90" s="2">
        <v>45390</v>
      </c>
      <c r="B90" s="7">
        <v>0.39583333333333331</v>
      </c>
      <c r="C90" s="1" t="s">
        <v>10</v>
      </c>
      <c r="D90" s="4" t="s">
        <v>7</v>
      </c>
      <c r="E90" s="24">
        <v>73242</v>
      </c>
      <c r="F90" s="11" t="s">
        <v>35</v>
      </c>
      <c r="G90" s="5">
        <f>Tabla1[[#This Row],[FECHA]]+Tabla1[[#This Row],[HORA]]</f>
        <v>45390.395833333336</v>
      </c>
      <c r="H90" s="9" t="str">
        <f ca="1">IF(Tabla1[[#This Row],[FECHA]]=TODAY(),"HOY","")</f>
        <v/>
      </c>
    </row>
    <row r="91" spans="1:8" x14ac:dyDescent="0.25">
      <c r="A91" s="2">
        <v>45390</v>
      </c>
      <c r="B91" s="7">
        <v>0.39583333333333331</v>
      </c>
      <c r="C91" s="1" t="s">
        <v>11</v>
      </c>
      <c r="D91" s="4" t="s">
        <v>7</v>
      </c>
      <c r="E91" s="24">
        <v>12945</v>
      </c>
      <c r="F91" s="11" t="s">
        <v>35</v>
      </c>
      <c r="G91" s="5">
        <f>Tabla1[[#This Row],[FECHA]]+Tabla1[[#This Row],[HORA]]</f>
        <v>45390.395833333336</v>
      </c>
      <c r="H91" s="9" t="str">
        <f ca="1">IF(Tabla1[[#This Row],[FECHA]]=TODAY(),"HOY","")</f>
        <v/>
      </c>
    </row>
    <row r="92" spans="1:8" x14ac:dyDescent="0.25">
      <c r="A92" s="2">
        <v>45390</v>
      </c>
      <c r="B92" s="7">
        <v>0.39583333333333331</v>
      </c>
      <c r="C92" s="1" t="s">
        <v>13</v>
      </c>
      <c r="D92" s="4" t="s">
        <v>4</v>
      </c>
      <c r="E92" s="11">
        <v>121031</v>
      </c>
      <c r="F92" s="11" t="s">
        <v>35</v>
      </c>
      <c r="G92" s="5">
        <f>Tabla1[[#This Row],[FECHA]]+Tabla1[[#This Row],[HORA]]</f>
        <v>45390.395833333336</v>
      </c>
      <c r="H92" s="9" t="str">
        <f ca="1">IF(Tabla1[[#This Row],[FECHA]]=TODAY(),"HOY","")</f>
        <v/>
      </c>
    </row>
    <row r="93" spans="1:8" x14ac:dyDescent="0.25">
      <c r="A93" s="2">
        <v>45390</v>
      </c>
      <c r="B93" s="7">
        <v>0.39583333333333331</v>
      </c>
      <c r="C93" s="1" t="s">
        <v>10</v>
      </c>
      <c r="D93" s="4" t="s">
        <v>4</v>
      </c>
      <c r="E93" s="11">
        <v>79239</v>
      </c>
      <c r="F93" s="11" t="s">
        <v>35</v>
      </c>
      <c r="G93" s="5">
        <f>Tabla1[[#This Row],[FECHA]]+Tabla1[[#This Row],[HORA]]</f>
        <v>45390.395833333336</v>
      </c>
      <c r="H93" s="9" t="str">
        <f ca="1">IF(Tabla1[[#This Row],[FECHA]]=TODAY(),"HOY","")</f>
        <v/>
      </c>
    </row>
    <row r="94" spans="1:8" x14ac:dyDescent="0.25">
      <c r="A94" s="2">
        <v>45390</v>
      </c>
      <c r="B94" s="7">
        <v>0.39583333333333331</v>
      </c>
      <c r="C94" s="1" t="s">
        <v>11</v>
      </c>
      <c r="D94" s="4" t="s">
        <v>4</v>
      </c>
      <c r="E94" s="11">
        <v>13135</v>
      </c>
      <c r="F94" s="11" t="s">
        <v>35</v>
      </c>
      <c r="G94" s="5">
        <f>Tabla1[[#This Row],[FECHA]]+Tabla1[[#This Row],[HORA]]</f>
        <v>45390.395833333336</v>
      </c>
      <c r="H94" s="9" t="str">
        <f ca="1">IF(Tabla1[[#This Row],[FECHA]]=TODAY(),"HOY","")</f>
        <v/>
      </c>
    </row>
    <row r="95" spans="1:8" x14ac:dyDescent="0.25">
      <c r="A95" s="2">
        <v>45390</v>
      </c>
      <c r="B95" s="7">
        <v>0.39583333333333331</v>
      </c>
      <c r="C95" s="1" t="s">
        <v>22</v>
      </c>
      <c r="D95" s="4" t="s">
        <v>4</v>
      </c>
      <c r="E95" s="11">
        <v>32275</v>
      </c>
      <c r="F95" s="11" t="s">
        <v>35</v>
      </c>
      <c r="G95" s="5">
        <f>Tabla1[[#This Row],[FECHA]]+Tabla1[[#This Row],[HORA]]</f>
        <v>45390.395833333336</v>
      </c>
      <c r="H95" s="9" t="str">
        <f ca="1">IF(Tabla1[[#This Row],[FECHA]]=TODAY(),"HOY","")</f>
        <v/>
      </c>
    </row>
    <row r="96" spans="1:8" x14ac:dyDescent="0.25">
      <c r="A96" s="2">
        <v>45390</v>
      </c>
      <c r="B96" s="7">
        <v>0.39583333333333331</v>
      </c>
      <c r="C96" s="1" t="s">
        <v>15</v>
      </c>
      <c r="D96" s="4" t="s">
        <v>4</v>
      </c>
      <c r="E96" s="11">
        <v>37208</v>
      </c>
      <c r="F96" s="11" t="s">
        <v>35</v>
      </c>
      <c r="G96" s="5">
        <f>Tabla1[[#This Row],[FECHA]]+Tabla1[[#This Row],[HORA]]</f>
        <v>45390.395833333336</v>
      </c>
      <c r="H96" s="9" t="str">
        <f ca="1">IF(Tabla1[[#This Row],[FECHA]]=TODAY(),"HOY","")</f>
        <v/>
      </c>
    </row>
    <row r="97" spans="1:8" x14ac:dyDescent="0.25">
      <c r="A97" s="2">
        <v>45390</v>
      </c>
      <c r="B97" s="7">
        <v>0.41666666666666669</v>
      </c>
      <c r="C97" s="1" t="s">
        <v>10</v>
      </c>
      <c r="D97" s="4" t="s">
        <v>17</v>
      </c>
      <c r="E97" s="11">
        <v>22709</v>
      </c>
      <c r="F97" s="11" t="s">
        <v>35</v>
      </c>
      <c r="G97" s="5">
        <f>Tabla1[[#This Row],[FECHA]]+Tabla1[[#This Row],[HORA]]</f>
        <v>45390.416666666664</v>
      </c>
      <c r="H97" s="9" t="str">
        <f ca="1">IF(Tabla1[[#This Row],[FECHA]]=TODAY(),"HOY","")</f>
        <v/>
      </c>
    </row>
    <row r="98" spans="1:8" x14ac:dyDescent="0.25">
      <c r="A98" s="2">
        <v>45390</v>
      </c>
      <c r="B98" s="7">
        <v>0.41666666666666669</v>
      </c>
      <c r="C98" s="1" t="s">
        <v>11</v>
      </c>
      <c r="D98" s="4" t="s">
        <v>17</v>
      </c>
      <c r="E98" s="11">
        <v>7294</v>
      </c>
      <c r="F98" s="11" t="s">
        <v>35</v>
      </c>
      <c r="G98" s="5">
        <f>Tabla1[[#This Row],[FECHA]]+Tabla1[[#This Row],[HORA]]</f>
        <v>45390.416666666664</v>
      </c>
      <c r="H98" s="9" t="str">
        <f ca="1">IF(Tabla1[[#This Row],[FECHA]]=TODAY(),"HOY","")</f>
        <v/>
      </c>
    </row>
    <row r="99" spans="1:8" x14ac:dyDescent="0.25">
      <c r="A99" s="2">
        <v>45390</v>
      </c>
      <c r="B99" s="7">
        <v>0.41666666666666669</v>
      </c>
      <c r="C99" s="1" t="s">
        <v>18</v>
      </c>
      <c r="D99" s="4" t="s">
        <v>4</v>
      </c>
      <c r="E99" s="11">
        <v>2765</v>
      </c>
      <c r="F99" s="11" t="s">
        <v>35</v>
      </c>
      <c r="G99" s="5">
        <f>Tabla1[[#This Row],[FECHA]]+Tabla1[[#This Row],[HORA]]</f>
        <v>45390.416666666664</v>
      </c>
      <c r="H99" s="9" t="str">
        <f ca="1">IF(Tabla1[[#This Row],[FECHA]]=TODAY(),"HOY","")</f>
        <v/>
      </c>
    </row>
    <row r="100" spans="1:8" x14ac:dyDescent="0.25">
      <c r="A100" s="2">
        <v>45390</v>
      </c>
      <c r="B100" s="7">
        <v>0.41666666666666669</v>
      </c>
      <c r="C100" s="1" t="s">
        <v>19</v>
      </c>
      <c r="D100" s="4" t="s">
        <v>4</v>
      </c>
      <c r="E100" s="11">
        <v>2769</v>
      </c>
      <c r="F100" s="11" t="s">
        <v>35</v>
      </c>
      <c r="G100" s="5">
        <f>Tabla1[[#This Row],[FECHA]]+Tabla1[[#This Row],[HORA]]</f>
        <v>45390.416666666664</v>
      </c>
      <c r="H100" s="9" t="str">
        <f ca="1">IF(Tabla1[[#This Row],[FECHA]]=TODAY(),"HOY","")</f>
        <v/>
      </c>
    </row>
    <row r="101" spans="1:8" x14ac:dyDescent="0.25">
      <c r="A101" s="2">
        <v>45390</v>
      </c>
      <c r="B101" s="7">
        <v>0.41666666666666669</v>
      </c>
      <c r="C101" s="1" t="s">
        <v>20</v>
      </c>
      <c r="D101" s="4" t="s">
        <v>4</v>
      </c>
      <c r="E101" s="11">
        <v>2815</v>
      </c>
      <c r="F101" s="11" t="s">
        <v>35</v>
      </c>
      <c r="G101" s="5">
        <f>Tabla1[[#This Row],[FECHA]]+Tabla1[[#This Row],[HORA]]</f>
        <v>45390.416666666664</v>
      </c>
      <c r="H101" s="9" t="str">
        <f ca="1">IF(Tabla1[[#This Row],[FECHA]]=TODAY(),"HOY","")</f>
        <v/>
      </c>
    </row>
    <row r="102" spans="1:8" x14ac:dyDescent="0.25">
      <c r="A102" s="2">
        <v>45390</v>
      </c>
      <c r="B102" s="7">
        <v>0.41666666666666669</v>
      </c>
      <c r="C102" s="1" t="s">
        <v>21</v>
      </c>
      <c r="D102" s="4" t="s">
        <v>4</v>
      </c>
      <c r="E102" s="11">
        <v>65130</v>
      </c>
      <c r="F102" s="11" t="s">
        <v>35</v>
      </c>
      <c r="G102" s="5">
        <f>Tabla1[[#This Row],[FECHA]]+Tabla1[[#This Row],[HORA]]</f>
        <v>45390.416666666664</v>
      </c>
      <c r="H102" s="9" t="str">
        <f ca="1">IF(Tabla1[[#This Row],[FECHA]]=TODAY(),"HOY","")</f>
        <v/>
      </c>
    </row>
    <row r="103" spans="1:8" x14ac:dyDescent="0.25">
      <c r="A103" s="2">
        <v>45390</v>
      </c>
      <c r="B103" s="7">
        <v>0.41666666666666669</v>
      </c>
      <c r="C103" s="1" t="s">
        <v>12</v>
      </c>
      <c r="D103" s="4" t="s">
        <v>4</v>
      </c>
      <c r="E103" s="11">
        <v>18679</v>
      </c>
      <c r="F103" s="11" t="s">
        <v>35</v>
      </c>
      <c r="G103" s="5">
        <f>Tabla1[[#This Row],[FECHA]]+Tabla1[[#This Row],[HORA]]</f>
        <v>45390.416666666664</v>
      </c>
      <c r="H103" s="9" t="str">
        <f ca="1">IF(Tabla1[[#This Row],[FECHA]]=TODAY(),"HOY","")</f>
        <v/>
      </c>
    </row>
    <row r="104" spans="1:8" x14ac:dyDescent="0.25">
      <c r="A104" s="2">
        <v>45390</v>
      </c>
      <c r="B104" s="7">
        <v>0.4375</v>
      </c>
      <c r="C104" s="1" t="s">
        <v>40</v>
      </c>
      <c r="D104" s="4" t="s">
        <v>17</v>
      </c>
      <c r="E104" s="11">
        <v>8426</v>
      </c>
      <c r="F104" s="1" t="s">
        <v>40</v>
      </c>
      <c r="G104" s="5">
        <f>Tabla1[[#This Row],[FECHA]]+Tabla1[[#This Row],[HORA]]</f>
        <v>45390.4375</v>
      </c>
      <c r="H104" s="9" t="str">
        <f ca="1">IF(Tabla1[[#This Row],[FECHA]]=TODAY(),"HOY","")</f>
        <v/>
      </c>
    </row>
    <row r="105" spans="1:8" x14ac:dyDescent="0.25">
      <c r="A105" s="2">
        <v>45390</v>
      </c>
      <c r="B105" s="7">
        <v>0.45833333333333331</v>
      </c>
      <c r="C105" s="1" t="s">
        <v>14</v>
      </c>
      <c r="D105" s="4" t="s">
        <v>4</v>
      </c>
      <c r="E105" s="11">
        <v>3453</v>
      </c>
      <c r="F105" s="11" t="s">
        <v>35</v>
      </c>
      <c r="G105" s="5">
        <f>Tabla1[[#This Row],[FECHA]]+Tabla1[[#This Row],[HORA]]</f>
        <v>45390.458333333336</v>
      </c>
      <c r="H105" s="9" t="str">
        <f ca="1">IF(Tabla1[[#This Row],[FECHA]]=TODAY(),"HOY","")</f>
        <v/>
      </c>
    </row>
    <row r="106" spans="1:8" x14ac:dyDescent="0.25">
      <c r="A106" s="2">
        <v>45390</v>
      </c>
      <c r="B106" s="7">
        <v>0.5</v>
      </c>
      <c r="C106" s="1" t="s">
        <v>11</v>
      </c>
      <c r="D106" s="4" t="s">
        <v>4</v>
      </c>
      <c r="E106" s="11">
        <v>12752</v>
      </c>
      <c r="F106" s="11" t="s">
        <v>35</v>
      </c>
      <c r="G106" s="5">
        <f>Tabla1[[#This Row],[FECHA]]+Tabla1[[#This Row],[HORA]]</f>
        <v>45390.5</v>
      </c>
      <c r="H106" s="9" t="str">
        <f ca="1">IF(Tabla1[[#This Row],[FECHA]]=TODAY(),"HOY","")</f>
        <v/>
      </c>
    </row>
    <row r="107" spans="1:8" x14ac:dyDescent="0.25">
      <c r="A107" s="2">
        <v>45390</v>
      </c>
      <c r="B107" s="7">
        <v>0.5</v>
      </c>
      <c r="C107" s="1" t="s">
        <v>22</v>
      </c>
      <c r="D107" s="4" t="s">
        <v>4</v>
      </c>
      <c r="E107" s="11">
        <v>32197</v>
      </c>
      <c r="F107" s="11" t="s">
        <v>35</v>
      </c>
      <c r="G107" s="5">
        <f>Tabla1[[#This Row],[FECHA]]+Tabla1[[#This Row],[HORA]]</f>
        <v>45390.5</v>
      </c>
      <c r="H107" s="9" t="str">
        <f ca="1">IF(Tabla1[[#This Row],[FECHA]]=TODAY(),"HOY","")</f>
        <v/>
      </c>
    </row>
    <row r="108" spans="1:8" x14ac:dyDescent="0.25">
      <c r="A108" s="2">
        <v>45390</v>
      </c>
      <c r="B108" s="7">
        <v>0.5</v>
      </c>
      <c r="C108" s="1" t="s">
        <v>15</v>
      </c>
      <c r="D108" s="4" t="s">
        <v>4</v>
      </c>
      <c r="E108" s="11">
        <v>37047</v>
      </c>
      <c r="F108" s="11" t="s">
        <v>35</v>
      </c>
      <c r="G108" s="5">
        <f>Tabla1[[#This Row],[FECHA]]+Tabla1[[#This Row],[HORA]]</f>
        <v>45390.5</v>
      </c>
      <c r="H108" s="9" t="str">
        <f ca="1">IF(Tabla1[[#This Row],[FECHA]]=TODAY(),"HOY","")</f>
        <v/>
      </c>
    </row>
    <row r="109" spans="1:8" x14ac:dyDescent="0.25">
      <c r="A109" s="2">
        <v>45390</v>
      </c>
      <c r="B109" s="7">
        <v>0.58333333333333337</v>
      </c>
      <c r="C109" s="1" t="s">
        <v>10</v>
      </c>
      <c r="D109" s="4" t="s">
        <v>4</v>
      </c>
      <c r="E109" s="11">
        <v>75284</v>
      </c>
      <c r="F109" s="11" t="s">
        <v>35</v>
      </c>
      <c r="G109" s="5">
        <f>Tabla1[[#This Row],[FECHA]]+Tabla1[[#This Row],[HORA]]</f>
        <v>45390.583333333336</v>
      </c>
      <c r="H109" s="9" t="str">
        <f ca="1">IF(Tabla1[[#This Row],[FECHA]]=TODAY(),"HOY","")</f>
        <v/>
      </c>
    </row>
    <row r="110" spans="1:8" x14ac:dyDescent="0.25">
      <c r="A110" s="2">
        <v>45390</v>
      </c>
      <c r="B110" s="7">
        <v>0.58333333333333337</v>
      </c>
      <c r="C110" s="1" t="s">
        <v>12</v>
      </c>
      <c r="D110" s="4" t="s">
        <v>4</v>
      </c>
      <c r="E110" s="11">
        <v>18625</v>
      </c>
      <c r="F110" s="11" t="s">
        <v>35</v>
      </c>
      <c r="G110" s="5">
        <f>Tabla1[[#This Row],[FECHA]]+Tabla1[[#This Row],[HORA]]</f>
        <v>45390.583333333336</v>
      </c>
      <c r="H110" s="9" t="str">
        <f ca="1">IF(Tabla1[[#This Row],[FECHA]]=TODAY(),"HOY","")</f>
        <v/>
      </c>
    </row>
    <row r="111" spans="1:8" x14ac:dyDescent="0.25">
      <c r="A111" s="2">
        <v>45390</v>
      </c>
      <c r="B111" s="7">
        <v>0.66666666666666663</v>
      </c>
      <c r="C111" s="1" t="s">
        <v>11</v>
      </c>
      <c r="D111" s="4" t="s">
        <v>4</v>
      </c>
      <c r="E111" s="11">
        <v>12310</v>
      </c>
      <c r="F111" s="11" t="s">
        <v>35</v>
      </c>
      <c r="G111" s="5">
        <f>Tabla1[[#This Row],[FECHA]]+Tabla1[[#This Row],[HORA]]</f>
        <v>45390.666666666664</v>
      </c>
      <c r="H111" s="9" t="str">
        <f ca="1">IF(Tabla1[[#This Row],[FECHA]]=TODAY(),"HOY","")</f>
        <v/>
      </c>
    </row>
    <row r="112" spans="1:8" x14ac:dyDescent="0.25">
      <c r="A112" s="2">
        <v>45390</v>
      </c>
      <c r="B112" s="7">
        <v>0.66666666666666663</v>
      </c>
      <c r="C112" s="1" t="s">
        <v>22</v>
      </c>
      <c r="D112" s="4" t="s">
        <v>4</v>
      </c>
      <c r="E112" s="11">
        <v>32142</v>
      </c>
      <c r="F112" s="11" t="s">
        <v>35</v>
      </c>
      <c r="G112" s="5">
        <f>Tabla1[[#This Row],[FECHA]]+Tabla1[[#This Row],[HORA]]</f>
        <v>45390.666666666664</v>
      </c>
      <c r="H112" s="9" t="str">
        <f ca="1">IF(Tabla1[[#This Row],[FECHA]]=TODAY(),"HOY","")</f>
        <v/>
      </c>
    </row>
    <row r="113" spans="1:8" x14ac:dyDescent="0.25">
      <c r="A113" s="2">
        <v>45390</v>
      </c>
      <c r="B113" s="7">
        <v>0.66666666666666663</v>
      </c>
      <c r="C113" s="1" t="s">
        <v>15</v>
      </c>
      <c r="D113" s="4" t="s">
        <v>4</v>
      </c>
      <c r="E113" s="11">
        <v>36926</v>
      </c>
      <c r="F113" s="11" t="s">
        <v>35</v>
      </c>
      <c r="G113" s="5">
        <f>Tabla1[[#This Row],[FECHA]]+Tabla1[[#This Row],[HORA]]</f>
        <v>45390.666666666664</v>
      </c>
      <c r="H113" s="9" t="str">
        <f ca="1">IF(Tabla1[[#This Row],[FECHA]]=TODAY(),"HOY","")</f>
        <v/>
      </c>
    </row>
    <row r="114" spans="1:8" x14ac:dyDescent="0.25">
      <c r="A114" s="2">
        <v>45391</v>
      </c>
      <c r="B114" s="7">
        <v>0.39583333333333331</v>
      </c>
      <c r="C114" s="1" t="s">
        <v>22</v>
      </c>
      <c r="D114" s="4" t="s">
        <v>6</v>
      </c>
      <c r="E114" s="11">
        <v>36451</v>
      </c>
      <c r="F114" s="11" t="s">
        <v>35</v>
      </c>
      <c r="G114" s="5">
        <f>Tabla1[[#This Row],[FECHA]]+Tabla1[[#This Row],[HORA]]</f>
        <v>45391.395833333336</v>
      </c>
      <c r="H114" s="9" t="str">
        <f ca="1">IF(Tabla1[[#This Row],[FECHA]]=TODAY(),"HOY","")</f>
        <v/>
      </c>
    </row>
    <row r="115" spans="1:8" x14ac:dyDescent="0.25">
      <c r="A115" s="2">
        <v>45391</v>
      </c>
      <c r="B115" s="7">
        <v>0.39583333333333331</v>
      </c>
      <c r="C115" s="1" t="s">
        <v>15</v>
      </c>
      <c r="D115" s="4" t="s">
        <v>6</v>
      </c>
      <c r="E115" s="11">
        <v>30670</v>
      </c>
      <c r="F115" s="11" t="s">
        <v>35</v>
      </c>
      <c r="G115" s="5">
        <f>Tabla1[[#This Row],[FECHA]]+Tabla1[[#This Row],[HORA]]</f>
        <v>45391.395833333336</v>
      </c>
      <c r="H115" s="9" t="str">
        <f ca="1">IF(Tabla1[[#This Row],[FECHA]]=TODAY(),"HOY","")</f>
        <v/>
      </c>
    </row>
    <row r="116" spans="1:8" x14ac:dyDescent="0.25">
      <c r="A116" s="2">
        <v>45391</v>
      </c>
      <c r="B116" s="7">
        <v>0.39583333333333331</v>
      </c>
      <c r="C116" s="1" t="s">
        <v>10</v>
      </c>
      <c r="D116" s="4" t="s">
        <v>7</v>
      </c>
      <c r="E116" s="11">
        <v>78192</v>
      </c>
      <c r="F116" s="11" t="s">
        <v>35</v>
      </c>
      <c r="G116" s="5">
        <f>Tabla1[[#This Row],[FECHA]]+Tabla1[[#This Row],[HORA]]</f>
        <v>45391.395833333336</v>
      </c>
      <c r="H116" s="9" t="str">
        <f ca="1">IF(Tabla1[[#This Row],[FECHA]]=TODAY(),"HOY","")</f>
        <v/>
      </c>
    </row>
    <row r="117" spans="1:8" x14ac:dyDescent="0.25">
      <c r="A117" s="2">
        <v>45391</v>
      </c>
      <c r="B117" s="7">
        <v>0.39583333333333331</v>
      </c>
      <c r="C117" s="1" t="s">
        <v>11</v>
      </c>
      <c r="D117" s="4" t="s">
        <v>7</v>
      </c>
      <c r="E117" s="11">
        <v>12816</v>
      </c>
      <c r="F117" s="11" t="s">
        <v>35</v>
      </c>
      <c r="G117" s="5">
        <f>Tabla1[[#This Row],[FECHA]]+Tabla1[[#This Row],[HORA]]</f>
        <v>45391.395833333336</v>
      </c>
      <c r="H117" s="9" t="str">
        <f ca="1">IF(Tabla1[[#This Row],[FECHA]]=TODAY(),"HOY","")</f>
        <v/>
      </c>
    </row>
    <row r="118" spans="1:8" x14ac:dyDescent="0.25">
      <c r="A118" s="2">
        <v>45391</v>
      </c>
      <c r="B118" s="7">
        <v>0.39583333333333331</v>
      </c>
      <c r="C118" s="1" t="s">
        <v>10</v>
      </c>
      <c r="D118" s="4" t="s">
        <v>4</v>
      </c>
      <c r="E118" s="11">
        <v>74727</v>
      </c>
      <c r="F118" s="11" t="s">
        <v>35</v>
      </c>
      <c r="G118" s="5">
        <f>Tabla1[[#This Row],[FECHA]]+Tabla1[[#This Row],[HORA]]</f>
        <v>45391.395833333336</v>
      </c>
      <c r="H118" s="9" t="str">
        <f ca="1">IF(Tabla1[[#This Row],[FECHA]]=TODAY(),"HOY","")</f>
        <v/>
      </c>
    </row>
    <row r="119" spans="1:8" x14ac:dyDescent="0.25">
      <c r="A119" s="2">
        <v>45391</v>
      </c>
      <c r="B119" s="7">
        <v>0.39583333333333331</v>
      </c>
      <c r="C119" s="1" t="s">
        <v>11</v>
      </c>
      <c r="D119" s="4" t="s">
        <v>4</v>
      </c>
      <c r="E119" s="11">
        <v>11259</v>
      </c>
      <c r="F119" s="11" t="s">
        <v>35</v>
      </c>
      <c r="G119" s="5">
        <f>Tabla1[[#This Row],[FECHA]]+Tabla1[[#This Row],[HORA]]</f>
        <v>45391.395833333336</v>
      </c>
      <c r="H119" s="9" t="str">
        <f ca="1">IF(Tabla1[[#This Row],[FECHA]]=TODAY(),"HOY","")</f>
        <v/>
      </c>
    </row>
    <row r="120" spans="1:8" x14ac:dyDescent="0.25">
      <c r="A120" s="2">
        <v>45391</v>
      </c>
      <c r="B120" s="7">
        <v>0.39583333333333331</v>
      </c>
      <c r="C120" s="1" t="s">
        <v>22</v>
      </c>
      <c r="D120" s="4" t="s">
        <v>4</v>
      </c>
      <c r="E120" s="11">
        <v>30074</v>
      </c>
      <c r="F120" s="11" t="s">
        <v>35</v>
      </c>
      <c r="G120" s="5">
        <f>Tabla1[[#This Row],[FECHA]]+Tabla1[[#This Row],[HORA]]</f>
        <v>45391.395833333336</v>
      </c>
      <c r="H120" s="9" t="str">
        <f ca="1">IF(Tabla1[[#This Row],[FECHA]]=TODAY(),"HOY","")</f>
        <v/>
      </c>
    </row>
    <row r="121" spans="1:8" x14ac:dyDescent="0.25">
      <c r="A121" s="2">
        <v>45391</v>
      </c>
      <c r="B121" s="7">
        <v>0.39583333333333331</v>
      </c>
      <c r="C121" s="1" t="s">
        <v>15</v>
      </c>
      <c r="D121" s="4" t="s">
        <v>4</v>
      </c>
      <c r="E121" s="11">
        <v>36708</v>
      </c>
      <c r="F121" s="11" t="s">
        <v>35</v>
      </c>
      <c r="G121" s="5">
        <f>Tabla1[[#This Row],[FECHA]]+Tabla1[[#This Row],[HORA]]</f>
        <v>45391.395833333336</v>
      </c>
      <c r="H121" s="9" t="str">
        <f ca="1">IF(Tabla1[[#This Row],[FECHA]]=TODAY(),"HOY","")</f>
        <v/>
      </c>
    </row>
    <row r="122" spans="1:8" x14ac:dyDescent="0.25">
      <c r="A122" s="2">
        <v>45391</v>
      </c>
      <c r="B122" s="7">
        <v>0.41666666666666669</v>
      </c>
      <c r="C122" s="1" t="s">
        <v>10</v>
      </c>
      <c r="D122" s="4" t="s">
        <v>17</v>
      </c>
      <c r="E122" s="11">
        <v>13788</v>
      </c>
      <c r="F122" s="11" t="s">
        <v>35</v>
      </c>
      <c r="G122" s="5">
        <f>Tabla1[[#This Row],[FECHA]]+Tabla1[[#This Row],[HORA]]</f>
        <v>45391.416666666664</v>
      </c>
      <c r="H122" s="9" t="str">
        <f ca="1">IF(Tabla1[[#This Row],[FECHA]]=TODAY(),"HOY","")</f>
        <v/>
      </c>
    </row>
    <row r="123" spans="1:8" x14ac:dyDescent="0.25">
      <c r="A123" s="2">
        <v>45391</v>
      </c>
      <c r="B123" s="7">
        <v>0.41666666666666669</v>
      </c>
      <c r="C123" s="1" t="s">
        <v>11</v>
      </c>
      <c r="D123" s="4" t="s">
        <v>17</v>
      </c>
      <c r="E123" s="11">
        <v>6283</v>
      </c>
      <c r="F123" s="11" t="s">
        <v>35</v>
      </c>
      <c r="G123" s="5">
        <f>Tabla1[[#This Row],[FECHA]]+Tabla1[[#This Row],[HORA]]</f>
        <v>45391.416666666664</v>
      </c>
      <c r="H123" s="9" t="str">
        <f ca="1">IF(Tabla1[[#This Row],[FECHA]]=TODAY(),"HOY","")</f>
        <v/>
      </c>
    </row>
    <row r="124" spans="1:8" x14ac:dyDescent="0.25">
      <c r="A124" s="2">
        <v>45391</v>
      </c>
      <c r="B124" s="7">
        <v>0.4375</v>
      </c>
      <c r="C124" s="1" t="s">
        <v>12</v>
      </c>
      <c r="D124" s="4" t="s">
        <v>4</v>
      </c>
      <c r="E124" s="11">
        <v>18508</v>
      </c>
      <c r="F124" s="11" t="s">
        <v>35</v>
      </c>
      <c r="G124" s="5">
        <f>Tabla1[[#This Row],[FECHA]]+Tabla1[[#This Row],[HORA]]</f>
        <v>45391.4375</v>
      </c>
      <c r="H124" s="9" t="str">
        <f ca="1">IF(Tabla1[[#This Row],[FECHA]]=TODAY(),"HOY","")</f>
        <v/>
      </c>
    </row>
    <row r="125" spans="1:8" x14ac:dyDescent="0.25">
      <c r="A125" s="2">
        <v>45391</v>
      </c>
      <c r="B125" s="7">
        <v>0.45833333333333331</v>
      </c>
      <c r="C125" s="1" t="s">
        <v>18</v>
      </c>
      <c r="D125" s="4" t="s">
        <v>4</v>
      </c>
      <c r="E125" s="11">
        <v>2764</v>
      </c>
      <c r="F125" s="11" t="s">
        <v>35</v>
      </c>
      <c r="G125" s="5">
        <f>Tabla1[[#This Row],[FECHA]]+Tabla1[[#This Row],[HORA]]</f>
        <v>45391.458333333336</v>
      </c>
      <c r="H125" s="9" t="str">
        <f ca="1">IF(Tabla1[[#This Row],[FECHA]]=TODAY(),"HOY","")</f>
        <v/>
      </c>
    </row>
    <row r="126" spans="1:8" x14ac:dyDescent="0.25">
      <c r="A126" s="2">
        <v>45391</v>
      </c>
      <c r="B126" s="7">
        <v>0.45833333333333331</v>
      </c>
      <c r="C126" s="1" t="s">
        <v>19</v>
      </c>
      <c r="D126" s="4" t="s">
        <v>4</v>
      </c>
      <c r="E126" s="11">
        <v>2767</v>
      </c>
      <c r="F126" s="11" t="s">
        <v>35</v>
      </c>
      <c r="G126" s="5">
        <f>Tabla1[[#This Row],[FECHA]]+Tabla1[[#This Row],[HORA]]</f>
        <v>45391.458333333336</v>
      </c>
      <c r="H126" s="9" t="str">
        <f ca="1">IF(Tabla1[[#This Row],[FECHA]]=TODAY(),"HOY","")</f>
        <v/>
      </c>
    </row>
    <row r="127" spans="1:8" x14ac:dyDescent="0.25">
      <c r="A127" s="2">
        <v>45391</v>
      </c>
      <c r="B127" s="7">
        <v>0.45833333333333331</v>
      </c>
      <c r="C127" s="1" t="s">
        <v>20</v>
      </c>
      <c r="D127" s="4" t="s">
        <v>4</v>
      </c>
      <c r="E127" s="11">
        <v>2815</v>
      </c>
      <c r="F127" s="11" t="s">
        <v>35</v>
      </c>
      <c r="G127" s="5">
        <f>Tabla1[[#This Row],[FECHA]]+Tabla1[[#This Row],[HORA]]</f>
        <v>45391.458333333336</v>
      </c>
      <c r="H127" s="9" t="str">
        <f ca="1">IF(Tabla1[[#This Row],[FECHA]]=TODAY(),"HOY","")</f>
        <v/>
      </c>
    </row>
    <row r="128" spans="1:8" x14ac:dyDescent="0.25">
      <c r="A128" s="2">
        <v>45391</v>
      </c>
      <c r="B128" s="7">
        <v>0.45833333333333331</v>
      </c>
      <c r="C128" s="1" t="s">
        <v>21</v>
      </c>
      <c r="D128" s="4" t="s">
        <v>4</v>
      </c>
      <c r="E128" s="11">
        <v>65105</v>
      </c>
      <c r="F128" s="11" t="s">
        <v>35</v>
      </c>
      <c r="G128" s="5">
        <f>Tabla1[[#This Row],[FECHA]]+Tabla1[[#This Row],[HORA]]</f>
        <v>45391.458333333336</v>
      </c>
      <c r="H128" s="9" t="str">
        <f ca="1">IF(Tabla1[[#This Row],[FECHA]]=TODAY(),"HOY","")</f>
        <v/>
      </c>
    </row>
    <row r="129" spans="1:8" x14ac:dyDescent="0.25">
      <c r="A129" s="2">
        <v>45391</v>
      </c>
      <c r="B129" s="7">
        <v>0.45833333333333331</v>
      </c>
      <c r="C129" s="1" t="s">
        <v>14</v>
      </c>
      <c r="D129" s="4" t="s">
        <v>4</v>
      </c>
      <c r="E129" s="11">
        <v>3441</v>
      </c>
      <c r="F129" s="11" t="s">
        <v>35</v>
      </c>
      <c r="G129" s="5">
        <f>Tabla1[[#This Row],[FECHA]]+Tabla1[[#This Row],[HORA]]</f>
        <v>45391.458333333336</v>
      </c>
      <c r="H129" s="9" t="str">
        <f ca="1">IF(Tabla1[[#This Row],[FECHA]]=TODAY(),"HOY","")</f>
        <v/>
      </c>
    </row>
    <row r="130" spans="1:8" x14ac:dyDescent="0.25">
      <c r="A130" s="2">
        <v>45391</v>
      </c>
      <c r="B130" s="7">
        <v>0.5</v>
      </c>
      <c r="C130" s="1" t="s">
        <v>22</v>
      </c>
      <c r="D130" s="4" t="s">
        <v>4</v>
      </c>
      <c r="E130" s="11">
        <v>30018</v>
      </c>
      <c r="F130" s="11" t="s">
        <v>35</v>
      </c>
      <c r="G130" s="5">
        <f>Tabla1[[#This Row],[FECHA]]+Tabla1[[#This Row],[HORA]]</f>
        <v>45391.5</v>
      </c>
      <c r="H130" s="9" t="str">
        <f ca="1">IF(Tabla1[[#This Row],[FECHA]]=TODAY(),"HOY","")</f>
        <v/>
      </c>
    </row>
    <row r="131" spans="1:8" x14ac:dyDescent="0.25">
      <c r="A131" s="2">
        <v>45391</v>
      </c>
      <c r="B131" s="7">
        <v>0.5</v>
      </c>
      <c r="C131" s="1" t="s">
        <v>15</v>
      </c>
      <c r="D131" s="4" t="s">
        <v>4</v>
      </c>
      <c r="E131" s="11">
        <v>36549</v>
      </c>
      <c r="F131" s="11" t="s">
        <v>35</v>
      </c>
      <c r="G131" s="5">
        <f>Tabla1[[#This Row],[FECHA]]+Tabla1[[#This Row],[HORA]]</f>
        <v>45391.5</v>
      </c>
      <c r="H131" s="9" t="str">
        <f ca="1">IF(Tabla1[[#This Row],[FECHA]]=TODAY(),"HOY","")</f>
        <v/>
      </c>
    </row>
    <row r="132" spans="1:8" x14ac:dyDescent="0.25">
      <c r="A132" s="2">
        <v>45391</v>
      </c>
      <c r="B132" s="7">
        <v>0.58333333333333337</v>
      </c>
      <c r="C132" s="1" t="s">
        <v>37</v>
      </c>
      <c r="D132" s="4" t="s">
        <v>7</v>
      </c>
      <c r="E132" s="11">
        <v>29</v>
      </c>
      <c r="F132" s="11" t="s">
        <v>37</v>
      </c>
      <c r="G132" s="5">
        <f>Tabla1[[#This Row],[FECHA]]+Tabla1[[#This Row],[HORA]]</f>
        <v>45391.583333333336</v>
      </c>
      <c r="H132" s="9" t="str">
        <f ca="1">IF(Tabla1[[#This Row],[FECHA]]=TODAY(),"HOY","")</f>
        <v/>
      </c>
    </row>
    <row r="133" spans="1:8" x14ac:dyDescent="0.25">
      <c r="A133" s="2">
        <v>45391</v>
      </c>
      <c r="B133" s="7">
        <v>0.58333333333333337</v>
      </c>
      <c r="C133" s="1" t="s">
        <v>37</v>
      </c>
      <c r="D133" s="4" t="s">
        <v>4</v>
      </c>
      <c r="E133" s="11">
        <v>235</v>
      </c>
      <c r="F133" s="11" t="s">
        <v>37</v>
      </c>
      <c r="G133" s="5">
        <f>Tabla1[[#This Row],[FECHA]]+Tabla1[[#This Row],[HORA]]</f>
        <v>45391.583333333336</v>
      </c>
      <c r="H133" s="9" t="str">
        <f ca="1">IF(Tabla1[[#This Row],[FECHA]]=TODAY(),"HOY","")</f>
        <v/>
      </c>
    </row>
    <row r="134" spans="1:8" x14ac:dyDescent="0.25">
      <c r="A134" s="2">
        <v>45391</v>
      </c>
      <c r="B134" s="7">
        <v>0.58333333333333337</v>
      </c>
      <c r="C134" s="1" t="s">
        <v>10</v>
      </c>
      <c r="D134" s="4" t="s">
        <v>4</v>
      </c>
      <c r="E134" s="11">
        <v>68224</v>
      </c>
      <c r="F134" s="11" t="s">
        <v>35</v>
      </c>
      <c r="G134" s="5">
        <f>Tabla1[[#This Row],[FECHA]]+Tabla1[[#This Row],[HORA]]</f>
        <v>45391.583333333336</v>
      </c>
      <c r="H134" s="9" t="str">
        <f ca="1">IF(Tabla1[[#This Row],[FECHA]]=TODAY(),"HOY","")</f>
        <v/>
      </c>
    </row>
    <row r="135" spans="1:8" x14ac:dyDescent="0.25">
      <c r="A135" s="2">
        <v>45391</v>
      </c>
      <c r="B135" s="7">
        <v>0.58333333333333337</v>
      </c>
      <c r="C135" s="1" t="s">
        <v>11</v>
      </c>
      <c r="D135" s="4" t="s">
        <v>4</v>
      </c>
      <c r="E135" s="11">
        <v>10868</v>
      </c>
      <c r="F135" s="11" t="s">
        <v>35</v>
      </c>
      <c r="G135" s="5">
        <f>Tabla1[[#This Row],[FECHA]]+Tabla1[[#This Row],[HORA]]</f>
        <v>45391.583333333336</v>
      </c>
      <c r="H135" s="9" t="str">
        <f ca="1">IF(Tabla1[[#This Row],[FECHA]]=TODAY(),"HOY","")</f>
        <v/>
      </c>
    </row>
    <row r="136" spans="1:8" x14ac:dyDescent="0.25">
      <c r="A136" s="2">
        <v>45391</v>
      </c>
      <c r="B136" s="7">
        <v>0.66666666666666663</v>
      </c>
      <c r="C136" s="1" t="s">
        <v>11</v>
      </c>
      <c r="D136" s="4" t="s">
        <v>4</v>
      </c>
      <c r="E136" s="11">
        <v>10648</v>
      </c>
      <c r="F136" s="11" t="s">
        <v>35</v>
      </c>
      <c r="G136" s="5">
        <f>Tabla1[[#This Row],[FECHA]]+Tabla1[[#This Row],[HORA]]</f>
        <v>45391.666666666664</v>
      </c>
      <c r="H136" s="9" t="str">
        <f ca="1">IF(Tabla1[[#This Row],[FECHA]]=TODAY(),"HOY","")</f>
        <v/>
      </c>
    </row>
    <row r="137" spans="1:8" x14ac:dyDescent="0.25">
      <c r="A137" s="2">
        <v>45391</v>
      </c>
      <c r="B137" s="7">
        <v>0.66666666666666663</v>
      </c>
      <c r="C137" s="1" t="s">
        <v>12</v>
      </c>
      <c r="D137" s="4" t="s">
        <v>4</v>
      </c>
      <c r="E137" s="11">
        <v>18269</v>
      </c>
      <c r="F137" s="11" t="s">
        <v>35</v>
      </c>
      <c r="G137" s="5">
        <f>Tabla1[[#This Row],[FECHA]]+Tabla1[[#This Row],[HORA]]</f>
        <v>45391.666666666664</v>
      </c>
      <c r="H137" s="9" t="str">
        <f ca="1">IF(Tabla1[[#This Row],[FECHA]]=TODAY(),"HOY","")</f>
        <v/>
      </c>
    </row>
    <row r="138" spans="1:8" x14ac:dyDescent="0.25">
      <c r="A138" s="2">
        <v>45391</v>
      </c>
      <c r="B138" s="7">
        <v>0.66666666666666663</v>
      </c>
      <c r="C138" s="1" t="s">
        <v>22</v>
      </c>
      <c r="D138" s="4" t="s">
        <v>4</v>
      </c>
      <c r="E138" s="11">
        <v>30013</v>
      </c>
      <c r="F138" s="11" t="s">
        <v>35</v>
      </c>
      <c r="G138" s="5">
        <f>Tabla1[[#This Row],[FECHA]]+Tabla1[[#This Row],[HORA]]</f>
        <v>45391.666666666664</v>
      </c>
      <c r="H138" s="9" t="str">
        <f ca="1">IF(Tabla1[[#This Row],[FECHA]]=TODAY(),"HOY","")</f>
        <v/>
      </c>
    </row>
    <row r="139" spans="1:8" x14ac:dyDescent="0.25">
      <c r="A139" s="2">
        <v>45391</v>
      </c>
      <c r="B139" s="7">
        <v>0.66666666666666663</v>
      </c>
      <c r="C139" s="1" t="s">
        <v>15</v>
      </c>
      <c r="D139" s="4" t="s">
        <v>4</v>
      </c>
      <c r="E139" s="11">
        <v>36371</v>
      </c>
      <c r="F139" s="11" t="s">
        <v>35</v>
      </c>
      <c r="G139" s="5">
        <f>Tabla1[[#This Row],[FECHA]]+Tabla1[[#This Row],[HORA]]</f>
        <v>45391.666666666664</v>
      </c>
      <c r="H139" s="9" t="str">
        <f ca="1">IF(Tabla1[[#This Row],[FECHA]]=TODAY(),"HOY","")</f>
        <v/>
      </c>
    </row>
    <row r="140" spans="1:8" x14ac:dyDescent="0.25">
      <c r="A140" s="2">
        <v>45391</v>
      </c>
      <c r="B140" s="7">
        <v>0.70833333333333337</v>
      </c>
      <c r="C140" s="1" t="s">
        <v>40</v>
      </c>
      <c r="D140" s="4" t="s">
        <v>4</v>
      </c>
      <c r="E140" s="11">
        <v>5562</v>
      </c>
      <c r="F140" s="11" t="s">
        <v>40</v>
      </c>
      <c r="G140" s="5">
        <f>Tabla1[[#This Row],[FECHA]]+Tabla1[[#This Row],[HORA]]</f>
        <v>45391.708333333336</v>
      </c>
      <c r="H140" s="9" t="str">
        <f ca="1">IF(Tabla1[[#This Row],[FECHA]]=TODAY(),"HOY","")</f>
        <v/>
      </c>
    </row>
    <row r="141" spans="1:8" x14ac:dyDescent="0.25">
      <c r="A141" s="2">
        <v>45392</v>
      </c>
      <c r="B141" s="7">
        <v>0.41666666666666669</v>
      </c>
      <c r="C141" s="1" t="s">
        <v>22</v>
      </c>
      <c r="D141" s="4" t="s">
        <v>6</v>
      </c>
      <c r="E141" s="11">
        <v>33760</v>
      </c>
      <c r="F141" s="21" t="s">
        <v>35</v>
      </c>
      <c r="G141" s="5">
        <f>Tabla1[[#This Row],[FECHA]]+Tabla1[[#This Row],[HORA]]</f>
        <v>45392.416666666664</v>
      </c>
      <c r="H141" s="9" t="str">
        <f ca="1">IF(Tabla1[[#This Row],[FECHA]]=TODAY(),"HOY","")</f>
        <v/>
      </c>
    </row>
    <row r="142" spans="1:8" x14ac:dyDescent="0.25">
      <c r="A142" s="2">
        <v>45392</v>
      </c>
      <c r="B142" s="7">
        <v>0.41666666666666669</v>
      </c>
      <c r="C142" s="1" t="s">
        <v>15</v>
      </c>
      <c r="D142" s="4" t="s">
        <v>6</v>
      </c>
      <c r="E142" s="11">
        <v>53640</v>
      </c>
      <c r="F142" s="21" t="s">
        <v>35</v>
      </c>
      <c r="G142" s="5">
        <f>Tabla1[[#This Row],[FECHA]]+Tabla1[[#This Row],[HORA]]</f>
        <v>45392.416666666664</v>
      </c>
      <c r="H142" s="9" t="str">
        <f ca="1">IF(Tabla1[[#This Row],[FECHA]]=TODAY(),"HOY","")</f>
        <v/>
      </c>
    </row>
    <row r="143" spans="1:8" x14ac:dyDescent="0.25">
      <c r="A143" s="2">
        <v>45392</v>
      </c>
      <c r="B143" s="7">
        <v>0.41666666666666669</v>
      </c>
      <c r="C143" s="1" t="s">
        <v>10</v>
      </c>
      <c r="D143" s="4" t="s">
        <v>7</v>
      </c>
      <c r="E143" s="11">
        <v>62615</v>
      </c>
      <c r="F143" s="21" t="s">
        <v>35</v>
      </c>
      <c r="G143" s="5">
        <f>Tabla1[[#This Row],[FECHA]]+Tabla1[[#This Row],[HORA]]</f>
        <v>45392.416666666664</v>
      </c>
      <c r="H143" s="9" t="str">
        <f ca="1">IF(Tabla1[[#This Row],[FECHA]]=TODAY(),"HOY","")</f>
        <v/>
      </c>
    </row>
    <row r="144" spans="1:8" x14ac:dyDescent="0.25">
      <c r="A144" s="2">
        <v>45392</v>
      </c>
      <c r="B144" s="7">
        <v>0.41666666666666669</v>
      </c>
      <c r="C144" s="1" t="s">
        <v>11</v>
      </c>
      <c r="D144" s="4" t="s">
        <v>7</v>
      </c>
      <c r="E144" s="11">
        <v>10005</v>
      </c>
      <c r="F144" s="21" t="s">
        <v>35</v>
      </c>
      <c r="G144" s="5">
        <f>Tabla1[[#This Row],[FECHA]]+Tabla1[[#This Row],[HORA]]</f>
        <v>45392.416666666664</v>
      </c>
      <c r="H144" s="9" t="str">
        <f ca="1">IF(Tabla1[[#This Row],[FECHA]]=TODAY(),"HOY","")</f>
        <v/>
      </c>
    </row>
    <row r="145" spans="1:8" x14ac:dyDescent="0.25">
      <c r="A145" s="2">
        <v>45392</v>
      </c>
      <c r="B145" s="7">
        <v>0.41666666666666669</v>
      </c>
      <c r="C145" s="1" t="s">
        <v>13</v>
      </c>
      <c r="D145" s="4" t="s">
        <v>4</v>
      </c>
      <c r="E145" s="11">
        <v>134040</v>
      </c>
      <c r="F145" s="21" t="s">
        <v>35</v>
      </c>
      <c r="G145" s="5">
        <f>Tabla1[[#This Row],[FECHA]]+Tabla1[[#This Row],[HORA]]</f>
        <v>45392.416666666664</v>
      </c>
      <c r="H145" s="9" t="str">
        <f ca="1">IF(Tabla1[[#This Row],[FECHA]]=TODAY(),"HOY","")</f>
        <v/>
      </c>
    </row>
    <row r="146" spans="1:8" x14ac:dyDescent="0.25">
      <c r="A146" s="2">
        <v>45392</v>
      </c>
      <c r="B146" s="7">
        <v>0.41666666666666669</v>
      </c>
      <c r="C146" s="1" t="s">
        <v>22</v>
      </c>
      <c r="D146" s="4" t="s">
        <v>4</v>
      </c>
      <c r="E146" s="11">
        <v>31557</v>
      </c>
      <c r="F146" s="11" t="s">
        <v>35</v>
      </c>
      <c r="G146" s="5">
        <f>Tabla1[[#This Row],[FECHA]]+Tabla1[[#This Row],[HORA]]</f>
        <v>45392.416666666664</v>
      </c>
      <c r="H146" s="9" t="str">
        <f ca="1">IF(Tabla1[[#This Row],[FECHA]]=TODAY(),"HOY","")</f>
        <v/>
      </c>
    </row>
    <row r="147" spans="1:8" x14ac:dyDescent="0.25">
      <c r="A147" s="2">
        <v>45392</v>
      </c>
      <c r="B147" s="7">
        <v>0.41666666666666669</v>
      </c>
      <c r="C147" s="1" t="s">
        <v>15</v>
      </c>
      <c r="D147" s="4" t="s">
        <v>4</v>
      </c>
      <c r="E147" s="11">
        <v>36891</v>
      </c>
      <c r="F147" s="11" t="s">
        <v>35</v>
      </c>
      <c r="G147" s="5">
        <f>Tabla1[[#This Row],[FECHA]]+Tabla1[[#This Row],[HORA]]</f>
        <v>45392.416666666664</v>
      </c>
      <c r="H147" s="9" t="str">
        <f ca="1">IF(Tabla1[[#This Row],[FECHA]]=TODAY(),"HOY","")</f>
        <v/>
      </c>
    </row>
    <row r="148" spans="1:8" x14ac:dyDescent="0.25">
      <c r="A148" s="2">
        <v>45392</v>
      </c>
      <c r="B148" s="7">
        <v>0.4375</v>
      </c>
      <c r="C148" s="1" t="s">
        <v>10</v>
      </c>
      <c r="D148" s="4" t="s">
        <v>17</v>
      </c>
      <c r="E148" s="11">
        <v>14723</v>
      </c>
      <c r="F148" s="21" t="s">
        <v>35</v>
      </c>
      <c r="G148" s="5">
        <f>Tabla1[[#This Row],[FECHA]]+Tabla1[[#This Row],[HORA]]</f>
        <v>45392.4375</v>
      </c>
      <c r="H148" s="9" t="str">
        <f ca="1">IF(Tabla1[[#This Row],[FECHA]]=TODAY(),"HOY","")</f>
        <v/>
      </c>
    </row>
    <row r="149" spans="1:8" x14ac:dyDescent="0.25">
      <c r="A149" s="2">
        <v>45392</v>
      </c>
      <c r="B149" s="7">
        <v>0.4375</v>
      </c>
      <c r="C149" s="1" t="s">
        <v>11</v>
      </c>
      <c r="D149" s="4" t="s">
        <v>17</v>
      </c>
      <c r="E149" s="11">
        <v>5719</v>
      </c>
      <c r="F149" s="21" t="s">
        <v>35</v>
      </c>
      <c r="G149" s="5">
        <f>Tabla1[[#This Row],[FECHA]]+Tabla1[[#This Row],[HORA]]</f>
        <v>45392.4375</v>
      </c>
      <c r="H149" s="9" t="str">
        <f ca="1">IF(Tabla1[[#This Row],[FECHA]]=TODAY(),"HOY","")</f>
        <v/>
      </c>
    </row>
    <row r="150" spans="1:8" x14ac:dyDescent="0.25">
      <c r="A150" s="2">
        <v>45392</v>
      </c>
      <c r="B150" s="20">
        <v>0.4375</v>
      </c>
      <c r="C150" s="1" t="s">
        <v>10</v>
      </c>
      <c r="D150" s="4" t="s">
        <v>4</v>
      </c>
      <c r="E150" s="11">
        <v>70536</v>
      </c>
      <c r="F150" s="21" t="s">
        <v>35</v>
      </c>
      <c r="G150" s="5">
        <f>Tabla1[[#This Row],[FECHA]]+Tabla1[[#This Row],[HORA]]</f>
        <v>45392.4375</v>
      </c>
      <c r="H150" s="9" t="str">
        <f ca="1">IF(Tabla1[[#This Row],[FECHA]]=TODAY(),"HOY","")</f>
        <v/>
      </c>
    </row>
    <row r="151" spans="1:8" x14ac:dyDescent="0.25">
      <c r="A151" s="2">
        <v>45392</v>
      </c>
      <c r="B151" s="20">
        <v>0.4375</v>
      </c>
      <c r="C151" s="1" t="s">
        <v>11</v>
      </c>
      <c r="D151" s="4" t="s">
        <v>4</v>
      </c>
      <c r="E151" s="11">
        <v>10470</v>
      </c>
      <c r="F151" s="21" t="s">
        <v>35</v>
      </c>
      <c r="G151" s="5">
        <f>Tabla1[[#This Row],[FECHA]]+Tabla1[[#This Row],[HORA]]</f>
        <v>45392.4375</v>
      </c>
      <c r="H151" s="9" t="str">
        <f ca="1">IF(Tabla1[[#This Row],[FECHA]]=TODAY(),"HOY","")</f>
        <v/>
      </c>
    </row>
    <row r="152" spans="1:8" x14ac:dyDescent="0.25">
      <c r="A152" s="2">
        <v>45392</v>
      </c>
      <c r="B152" s="7">
        <v>0.45833333333333331</v>
      </c>
      <c r="C152" s="1" t="s">
        <v>37</v>
      </c>
      <c r="D152" s="4" t="s">
        <v>4</v>
      </c>
      <c r="E152" s="11">
        <v>294</v>
      </c>
      <c r="F152" s="11" t="s">
        <v>37</v>
      </c>
      <c r="G152" s="5">
        <f>Tabla1[[#This Row],[FECHA]]+Tabla1[[#This Row],[HORA]]</f>
        <v>45392.458333333336</v>
      </c>
      <c r="H152" s="9" t="str">
        <f ca="1">IF(Tabla1[[#This Row],[FECHA]]=TODAY(),"HOY","")</f>
        <v/>
      </c>
    </row>
    <row r="153" spans="1:8" x14ac:dyDescent="0.25">
      <c r="A153" s="2">
        <v>45392</v>
      </c>
      <c r="B153" s="7">
        <v>0.5</v>
      </c>
      <c r="C153" s="1" t="s">
        <v>37</v>
      </c>
      <c r="D153" s="4" t="s">
        <v>6</v>
      </c>
      <c r="E153" s="11">
        <v>296</v>
      </c>
      <c r="F153" s="11" t="s">
        <v>37</v>
      </c>
      <c r="G153" s="5">
        <f>Tabla1[[#This Row],[FECHA]]+Tabla1[[#This Row],[HORA]]</f>
        <v>45392.5</v>
      </c>
      <c r="H153" s="9" t="str">
        <f ca="1">IF(Tabla1[[#This Row],[FECHA]]=TODAY(),"HOY","")</f>
        <v/>
      </c>
    </row>
    <row r="154" spans="1:8" x14ac:dyDescent="0.25">
      <c r="A154" s="2">
        <v>45392</v>
      </c>
      <c r="B154" s="7">
        <v>0.5</v>
      </c>
      <c r="C154" s="1" t="s">
        <v>18</v>
      </c>
      <c r="D154" s="4" t="s">
        <v>4</v>
      </c>
      <c r="E154" s="11">
        <v>3357</v>
      </c>
      <c r="F154" s="21" t="s">
        <v>35</v>
      </c>
      <c r="G154" s="5">
        <f>Tabla1[[#This Row],[FECHA]]+Tabla1[[#This Row],[HORA]]</f>
        <v>45392.5</v>
      </c>
      <c r="H154" s="9" t="str">
        <f ca="1">IF(Tabla1[[#This Row],[FECHA]]=TODAY(),"HOY","")</f>
        <v/>
      </c>
    </row>
    <row r="155" spans="1:8" x14ac:dyDescent="0.25">
      <c r="A155" s="2">
        <v>45392</v>
      </c>
      <c r="B155" s="7">
        <v>0.5</v>
      </c>
      <c r="C155" s="1" t="s">
        <v>19</v>
      </c>
      <c r="D155" s="4" t="s">
        <v>4</v>
      </c>
      <c r="E155" s="11">
        <v>3483</v>
      </c>
      <c r="F155" s="21" t="s">
        <v>35</v>
      </c>
      <c r="G155" s="5">
        <f>Tabla1[[#This Row],[FECHA]]+Tabla1[[#This Row],[HORA]]</f>
        <v>45392.5</v>
      </c>
      <c r="H155" s="9" t="str">
        <f ca="1">IF(Tabla1[[#This Row],[FECHA]]=TODAY(),"HOY","")</f>
        <v/>
      </c>
    </row>
    <row r="156" spans="1:8" x14ac:dyDescent="0.25">
      <c r="A156" s="2">
        <v>45392</v>
      </c>
      <c r="B156" s="7">
        <v>0.5</v>
      </c>
      <c r="C156" s="1" t="s">
        <v>20</v>
      </c>
      <c r="D156" s="4" t="s">
        <v>4</v>
      </c>
      <c r="E156" s="11">
        <v>3712</v>
      </c>
      <c r="F156" s="21" t="s">
        <v>35</v>
      </c>
      <c r="G156" s="5">
        <f>Tabla1[[#This Row],[FECHA]]+Tabla1[[#This Row],[HORA]]</f>
        <v>45392.5</v>
      </c>
      <c r="H156" s="9" t="str">
        <f ca="1">IF(Tabla1[[#This Row],[FECHA]]=TODAY(),"HOY","")</f>
        <v/>
      </c>
    </row>
    <row r="157" spans="1:8" x14ac:dyDescent="0.25">
      <c r="A157" s="2">
        <v>45392</v>
      </c>
      <c r="B157" s="7">
        <v>0.5</v>
      </c>
      <c r="C157" s="1" t="s">
        <v>21</v>
      </c>
      <c r="D157" s="4" t="s">
        <v>4</v>
      </c>
      <c r="E157" s="11">
        <v>78079</v>
      </c>
      <c r="F157" s="21" t="s">
        <v>35</v>
      </c>
      <c r="G157" s="5">
        <f>Tabla1[[#This Row],[FECHA]]+Tabla1[[#This Row],[HORA]]</f>
        <v>45392.5</v>
      </c>
      <c r="H157" s="9" t="str">
        <f ca="1">IF(Tabla1[[#This Row],[FECHA]]=TODAY(),"HOY","")</f>
        <v/>
      </c>
    </row>
    <row r="158" spans="1:8" x14ac:dyDescent="0.25">
      <c r="A158" s="2">
        <v>45392</v>
      </c>
      <c r="B158" s="7">
        <v>0.5</v>
      </c>
      <c r="C158" s="1" t="s">
        <v>12</v>
      </c>
      <c r="D158" s="4" t="s">
        <v>4</v>
      </c>
      <c r="E158" s="11">
        <v>18164</v>
      </c>
      <c r="F158" s="21" t="s">
        <v>35</v>
      </c>
      <c r="G158" s="5">
        <f>Tabla1[[#This Row],[FECHA]]+Tabla1[[#This Row],[HORA]]</f>
        <v>45392.5</v>
      </c>
      <c r="H158" s="9" t="str">
        <f ca="1">IF(Tabla1[[#This Row],[FECHA]]=TODAY(),"HOY","")</f>
        <v/>
      </c>
    </row>
    <row r="159" spans="1:8" x14ac:dyDescent="0.25">
      <c r="A159" s="2">
        <v>45392</v>
      </c>
      <c r="B159" s="7">
        <v>0.5</v>
      </c>
      <c r="C159" s="1" t="s">
        <v>14</v>
      </c>
      <c r="D159" s="4" t="s">
        <v>4</v>
      </c>
      <c r="E159" s="11">
        <v>3674</v>
      </c>
      <c r="F159" s="21" t="s">
        <v>35</v>
      </c>
      <c r="G159" s="5">
        <f>Tabla1[[#This Row],[FECHA]]+Tabla1[[#This Row],[HORA]]</f>
        <v>45392.5</v>
      </c>
      <c r="H159" s="9" t="str">
        <f ca="1">IF(Tabla1[[#This Row],[FECHA]]=TODAY(),"HOY","")</f>
        <v/>
      </c>
    </row>
    <row r="160" spans="1:8" x14ac:dyDescent="0.25">
      <c r="A160" s="2">
        <v>45392</v>
      </c>
      <c r="B160" s="7">
        <v>0.58333333333333337</v>
      </c>
      <c r="C160" s="1" t="s">
        <v>37</v>
      </c>
      <c r="D160" s="4" t="s">
        <v>6</v>
      </c>
      <c r="E160" s="11">
        <v>296</v>
      </c>
      <c r="F160" s="11" t="s">
        <v>37</v>
      </c>
      <c r="G160" s="5">
        <f>Tabla1[[#This Row],[FECHA]]+Tabla1[[#This Row],[HORA]]</f>
        <v>45392.583333333336</v>
      </c>
      <c r="H160" s="9" t="str">
        <f ca="1">IF(Tabla1[[#This Row],[FECHA]]=TODAY(),"HOY","")</f>
        <v/>
      </c>
    </row>
    <row r="161" spans="1:8" x14ac:dyDescent="0.25">
      <c r="A161" s="2">
        <v>45392</v>
      </c>
      <c r="B161" s="7">
        <v>0.58333333333333337</v>
      </c>
      <c r="C161" s="1" t="s">
        <v>37</v>
      </c>
      <c r="D161" s="4" t="s">
        <v>4</v>
      </c>
      <c r="E161" s="11">
        <v>260</v>
      </c>
      <c r="F161" s="11" t="s">
        <v>37</v>
      </c>
      <c r="G161" s="5">
        <f>Tabla1[[#This Row],[FECHA]]+Tabla1[[#This Row],[HORA]]</f>
        <v>45392.583333333336</v>
      </c>
      <c r="H161" s="9" t="str">
        <f ca="1">IF(Tabla1[[#This Row],[FECHA]]=TODAY(),"HOY","")</f>
        <v/>
      </c>
    </row>
    <row r="162" spans="1:8" x14ac:dyDescent="0.25">
      <c r="A162" s="2">
        <v>45392</v>
      </c>
      <c r="B162" s="7">
        <v>0.59375</v>
      </c>
      <c r="C162" s="1" t="s">
        <v>40</v>
      </c>
      <c r="D162" s="4" t="s">
        <v>4</v>
      </c>
      <c r="E162" s="11">
        <v>21656</v>
      </c>
      <c r="F162" s="11" t="s">
        <v>40</v>
      </c>
      <c r="G162" s="5">
        <f>Tabla1[[#This Row],[FECHA]]+Tabla1[[#This Row],[HORA]]</f>
        <v>45392.59375</v>
      </c>
      <c r="H162" s="9" t="str">
        <f ca="1">IF(Tabla1[[#This Row],[FECHA]]=TODAY(),"HOY","")</f>
        <v/>
      </c>
    </row>
    <row r="163" spans="1:8" x14ac:dyDescent="0.25">
      <c r="A163" s="2">
        <v>45392</v>
      </c>
      <c r="B163" s="7">
        <v>0.625</v>
      </c>
      <c r="C163" s="1" t="s">
        <v>37</v>
      </c>
      <c r="D163" s="4" t="s">
        <v>6</v>
      </c>
      <c r="E163" s="11">
        <v>296</v>
      </c>
      <c r="F163" s="11" t="s">
        <v>37</v>
      </c>
      <c r="G163" s="5">
        <f>Tabla1[[#This Row],[FECHA]]+Tabla1[[#This Row],[HORA]]</f>
        <v>45392.625</v>
      </c>
      <c r="H163" s="9" t="str">
        <f ca="1">IF(Tabla1[[#This Row],[FECHA]]=TODAY(),"HOY","")</f>
        <v/>
      </c>
    </row>
    <row r="164" spans="1:8" x14ac:dyDescent="0.25">
      <c r="A164" s="2">
        <v>45392</v>
      </c>
      <c r="B164" s="7">
        <v>0.66666666666666663</v>
      </c>
      <c r="C164" s="1" t="s">
        <v>10</v>
      </c>
      <c r="D164" s="4" t="s">
        <v>4</v>
      </c>
      <c r="E164" s="11">
        <v>65396</v>
      </c>
      <c r="F164" s="11" t="s">
        <v>35</v>
      </c>
      <c r="G164" s="5">
        <f>Tabla1[[#This Row],[FECHA]]+Tabla1[[#This Row],[HORA]]</f>
        <v>45392.666666666664</v>
      </c>
      <c r="H164" s="9" t="str">
        <f ca="1">IF(Tabla1[[#This Row],[FECHA]]=TODAY(),"HOY","")</f>
        <v/>
      </c>
    </row>
    <row r="165" spans="1:8" x14ac:dyDescent="0.25">
      <c r="A165" s="2">
        <v>45392</v>
      </c>
      <c r="B165" s="7">
        <v>0.66666666666666663</v>
      </c>
      <c r="C165" s="1" t="s">
        <v>12</v>
      </c>
      <c r="D165" s="4" t="s">
        <v>4</v>
      </c>
      <c r="E165" s="11">
        <v>18019</v>
      </c>
      <c r="F165" s="11" t="s">
        <v>35</v>
      </c>
      <c r="G165" s="5">
        <f>Tabla1[[#This Row],[FECHA]]+Tabla1[[#This Row],[HORA]]</f>
        <v>45392.666666666664</v>
      </c>
      <c r="H165" s="9" t="str">
        <f ca="1">IF(Tabla1[[#This Row],[FECHA]]=TODAY(),"HOY","")</f>
        <v/>
      </c>
    </row>
    <row r="166" spans="1:8" x14ac:dyDescent="0.25">
      <c r="A166" s="2">
        <v>45392</v>
      </c>
      <c r="B166" s="7">
        <v>0.66666666666666663</v>
      </c>
      <c r="C166" s="1" t="s">
        <v>22</v>
      </c>
      <c r="D166" s="4" t="s">
        <v>4</v>
      </c>
      <c r="E166" s="11">
        <v>31196</v>
      </c>
      <c r="F166" s="11" t="s">
        <v>35</v>
      </c>
      <c r="G166" s="5">
        <f>Tabla1[[#This Row],[FECHA]]+Tabla1[[#This Row],[HORA]]</f>
        <v>45392.666666666664</v>
      </c>
      <c r="H166" s="9" t="str">
        <f ca="1">IF(Tabla1[[#This Row],[FECHA]]=TODAY(),"HOY","")</f>
        <v/>
      </c>
    </row>
    <row r="167" spans="1:8" x14ac:dyDescent="0.25">
      <c r="A167" s="2">
        <v>45392</v>
      </c>
      <c r="B167" s="7">
        <v>0.66666666666666663</v>
      </c>
      <c r="C167" s="1" t="s">
        <v>15</v>
      </c>
      <c r="D167" s="4" t="s">
        <v>4</v>
      </c>
      <c r="E167" s="11">
        <v>36687</v>
      </c>
      <c r="F167" s="11" t="s">
        <v>35</v>
      </c>
      <c r="G167" s="5">
        <f>Tabla1[[#This Row],[FECHA]]+Tabla1[[#This Row],[HORA]]</f>
        <v>45392.666666666664</v>
      </c>
      <c r="H167" s="9" t="str">
        <f ca="1">IF(Tabla1[[#This Row],[FECHA]]=TODAY(),"HOY","")</f>
        <v/>
      </c>
    </row>
    <row r="168" spans="1:8" x14ac:dyDescent="0.25">
      <c r="A168" s="2">
        <v>45392</v>
      </c>
      <c r="B168" s="7">
        <v>0.6875</v>
      </c>
      <c r="C168" s="1" t="s">
        <v>40</v>
      </c>
      <c r="D168" s="4" t="s">
        <v>4</v>
      </c>
      <c r="E168" s="11">
        <v>21656</v>
      </c>
      <c r="F168" s="11" t="s">
        <v>40</v>
      </c>
      <c r="G168" s="5">
        <f>Tabla1[[#This Row],[FECHA]]+Tabla1[[#This Row],[HORA]]</f>
        <v>45392.6875</v>
      </c>
      <c r="H168" s="9" t="str">
        <f ca="1">IF(Tabla1[[#This Row],[FECHA]]=TODAY(),"HOY","")</f>
        <v/>
      </c>
    </row>
    <row r="169" spans="1:8" x14ac:dyDescent="0.25">
      <c r="A169" s="2">
        <v>45392</v>
      </c>
      <c r="B169" s="7">
        <v>0.70833333333333337</v>
      </c>
      <c r="C169" s="1" t="s">
        <v>11</v>
      </c>
      <c r="D169" s="4" t="s">
        <v>4</v>
      </c>
      <c r="E169" s="11">
        <v>10015</v>
      </c>
      <c r="F169" s="11" t="s">
        <v>35</v>
      </c>
      <c r="G169" s="5">
        <f>Tabla1[[#This Row],[FECHA]]+Tabla1[[#This Row],[HORA]]</f>
        <v>45392.708333333336</v>
      </c>
      <c r="H169" s="9" t="str">
        <f ca="1">IF(Tabla1[[#This Row],[FECHA]]=TODAY(),"HOY","")</f>
        <v/>
      </c>
    </row>
    <row r="170" spans="1:8" x14ac:dyDescent="0.25">
      <c r="A170" s="2">
        <v>45393</v>
      </c>
      <c r="B170" s="7">
        <v>0.39583333333333331</v>
      </c>
      <c r="C170" s="1" t="s">
        <v>22</v>
      </c>
      <c r="D170" s="4" t="s">
        <v>4</v>
      </c>
      <c r="E170" s="11">
        <v>27865</v>
      </c>
      <c r="F170" s="11" t="s">
        <v>35</v>
      </c>
      <c r="G170" s="5">
        <f>Tabla1[[#This Row],[FECHA]]+Tabla1[[#This Row],[HORA]]</f>
        <v>45393.395833333336</v>
      </c>
      <c r="H170" s="9" t="str">
        <f ca="1">IF(Tabla1[[#This Row],[FECHA]]=TODAY(),"HOY","")</f>
        <v/>
      </c>
    </row>
    <row r="171" spans="1:8" x14ac:dyDescent="0.25">
      <c r="A171" s="2">
        <v>45393</v>
      </c>
      <c r="B171" s="7">
        <v>0.39583333333333331</v>
      </c>
      <c r="C171" s="1" t="s">
        <v>15</v>
      </c>
      <c r="D171" s="4" t="s">
        <v>4</v>
      </c>
      <c r="E171" s="11">
        <v>35245</v>
      </c>
      <c r="F171" s="11" t="s">
        <v>35</v>
      </c>
      <c r="G171" s="5">
        <f>Tabla1[[#This Row],[FECHA]]+Tabla1[[#This Row],[HORA]]</f>
        <v>45393.395833333336</v>
      </c>
      <c r="H171" s="9" t="str">
        <f ca="1">IF(Tabla1[[#This Row],[FECHA]]=TODAY(),"HOY","")</f>
        <v/>
      </c>
    </row>
    <row r="172" spans="1:8" x14ac:dyDescent="0.25">
      <c r="A172" s="2">
        <v>45393</v>
      </c>
      <c r="B172" s="7">
        <v>0.41666666666666669</v>
      </c>
      <c r="C172" s="1" t="s">
        <v>22</v>
      </c>
      <c r="D172" s="4" t="s">
        <v>6</v>
      </c>
      <c r="E172" s="11">
        <v>33258</v>
      </c>
      <c r="F172" s="11" t="s">
        <v>35</v>
      </c>
      <c r="G172" s="5">
        <f>Tabla1[[#This Row],[FECHA]]+Tabla1[[#This Row],[HORA]]</f>
        <v>45393.416666666664</v>
      </c>
      <c r="H172" s="9" t="str">
        <f ca="1">IF(Tabla1[[#This Row],[FECHA]]=TODAY(),"HOY","")</f>
        <v/>
      </c>
    </row>
    <row r="173" spans="1:8" x14ac:dyDescent="0.25">
      <c r="A173" s="2">
        <v>45393</v>
      </c>
      <c r="B173" s="7">
        <v>0.41666666666666669</v>
      </c>
      <c r="C173" s="1" t="s">
        <v>15</v>
      </c>
      <c r="D173" s="4" t="s">
        <v>6</v>
      </c>
      <c r="E173" s="11">
        <v>53618</v>
      </c>
      <c r="F173" s="11" t="s">
        <v>35</v>
      </c>
      <c r="G173" s="5">
        <f>Tabla1[[#This Row],[FECHA]]+Tabla1[[#This Row],[HORA]]</f>
        <v>45393.416666666664</v>
      </c>
      <c r="H173" s="9" t="str">
        <f ca="1">IF(Tabla1[[#This Row],[FECHA]]=TODAY(),"HOY","")</f>
        <v/>
      </c>
    </row>
    <row r="174" spans="1:8" x14ac:dyDescent="0.25">
      <c r="A174" s="2">
        <v>45393</v>
      </c>
      <c r="B174" s="7">
        <v>0.41666666666666669</v>
      </c>
      <c r="C174" s="1" t="s">
        <v>10</v>
      </c>
      <c r="D174" s="4" t="s">
        <v>7</v>
      </c>
      <c r="E174" s="11">
        <v>55889</v>
      </c>
      <c r="F174" s="11" t="s">
        <v>35</v>
      </c>
      <c r="G174" s="5">
        <f>Tabla1[[#This Row],[FECHA]]+Tabla1[[#This Row],[HORA]]</f>
        <v>45393.416666666664</v>
      </c>
      <c r="H174" s="9" t="str">
        <f ca="1">IF(Tabla1[[#This Row],[FECHA]]=TODAY(),"HOY","")</f>
        <v/>
      </c>
    </row>
    <row r="175" spans="1:8" x14ac:dyDescent="0.25">
      <c r="A175" s="2">
        <v>45393</v>
      </c>
      <c r="B175" s="7">
        <v>0.41666666666666669</v>
      </c>
      <c r="C175" s="1" t="s">
        <v>11</v>
      </c>
      <c r="D175" s="4" t="s">
        <v>7</v>
      </c>
      <c r="E175" s="11">
        <v>9247</v>
      </c>
      <c r="F175" s="11" t="s">
        <v>35</v>
      </c>
      <c r="G175" s="5">
        <f>Tabla1[[#This Row],[FECHA]]+Tabla1[[#This Row],[HORA]]</f>
        <v>45393.416666666664</v>
      </c>
      <c r="H175" s="9" t="str">
        <f ca="1">IF(Tabla1[[#This Row],[FECHA]]=TODAY(),"HOY","")</f>
        <v/>
      </c>
    </row>
    <row r="176" spans="1:8" x14ac:dyDescent="0.25">
      <c r="A176" s="2">
        <v>45393</v>
      </c>
      <c r="B176" s="7">
        <v>0.41666666666666669</v>
      </c>
      <c r="C176" s="1" t="s">
        <v>11</v>
      </c>
      <c r="D176" s="4" t="s">
        <v>4</v>
      </c>
      <c r="E176" s="11">
        <v>8887</v>
      </c>
      <c r="F176" s="11" t="s">
        <v>35</v>
      </c>
      <c r="G176" s="5">
        <f>Tabla1[[#This Row],[FECHA]]+Tabla1[[#This Row],[HORA]]</f>
        <v>45393.416666666664</v>
      </c>
      <c r="H176" s="9" t="str">
        <f ca="1">IF(Tabla1[[#This Row],[FECHA]]=TODAY(),"HOY","")</f>
        <v/>
      </c>
    </row>
    <row r="177" spans="1:8" x14ac:dyDescent="0.25">
      <c r="A177" s="2">
        <v>45393</v>
      </c>
      <c r="B177" s="7">
        <v>0.4375</v>
      </c>
      <c r="C177" s="1" t="s">
        <v>10</v>
      </c>
      <c r="D177" s="4" t="s">
        <v>4</v>
      </c>
      <c r="E177" s="11">
        <v>55484</v>
      </c>
      <c r="F177" s="11" t="s">
        <v>35</v>
      </c>
      <c r="G177" s="5">
        <f>Tabla1[[#This Row],[FECHA]]+Tabla1[[#This Row],[HORA]]</f>
        <v>45393.4375</v>
      </c>
      <c r="H177" s="9" t="str">
        <f ca="1">IF(Tabla1[[#This Row],[FECHA]]=TODAY(),"HOY","")</f>
        <v/>
      </c>
    </row>
    <row r="178" spans="1:8" x14ac:dyDescent="0.25">
      <c r="A178" s="2">
        <v>45393</v>
      </c>
      <c r="B178" s="7">
        <v>0.5</v>
      </c>
      <c r="C178" s="1" t="s">
        <v>37</v>
      </c>
      <c r="D178" s="4" t="s">
        <v>6</v>
      </c>
      <c r="E178" s="11">
        <v>296</v>
      </c>
      <c r="F178" s="11" t="s">
        <v>37</v>
      </c>
      <c r="G178" s="5">
        <f>Tabla1[[#This Row],[FECHA]]+Tabla1[[#This Row],[HORA]]</f>
        <v>45393.5</v>
      </c>
      <c r="H178" s="9" t="str">
        <f ca="1">IF(Tabla1[[#This Row],[FECHA]]=TODAY(),"HOY","")</f>
        <v/>
      </c>
    </row>
    <row r="179" spans="1:8" x14ac:dyDescent="0.25">
      <c r="A179" s="2">
        <v>45393</v>
      </c>
      <c r="B179" s="7">
        <v>0.5</v>
      </c>
      <c r="C179" s="1" t="s">
        <v>22</v>
      </c>
      <c r="D179" s="4" t="s">
        <v>4</v>
      </c>
      <c r="E179" s="11">
        <v>27785</v>
      </c>
      <c r="F179" s="11" t="s">
        <v>35</v>
      </c>
      <c r="G179" s="5">
        <f>Tabla1[[#This Row],[FECHA]]+Tabla1[[#This Row],[HORA]]</f>
        <v>45393.5</v>
      </c>
      <c r="H179" s="9" t="str">
        <f ca="1">IF(Tabla1[[#This Row],[FECHA]]=TODAY(),"HOY","")</f>
        <v/>
      </c>
    </row>
    <row r="180" spans="1:8" x14ac:dyDescent="0.25">
      <c r="A180" s="2">
        <v>45393</v>
      </c>
      <c r="B180" s="7">
        <v>0.5</v>
      </c>
      <c r="C180" s="1" t="s">
        <v>15</v>
      </c>
      <c r="D180" s="4" t="s">
        <v>4</v>
      </c>
      <c r="E180" s="11">
        <v>35172</v>
      </c>
      <c r="F180" s="11" t="s">
        <v>35</v>
      </c>
      <c r="G180" s="5">
        <f>Tabla1[[#This Row],[FECHA]]+Tabla1[[#This Row],[HORA]]</f>
        <v>45393.5</v>
      </c>
      <c r="H180" s="9" t="str">
        <f ca="1">IF(Tabla1[[#This Row],[FECHA]]=TODAY(),"HOY","")</f>
        <v/>
      </c>
    </row>
    <row r="181" spans="1:8" x14ac:dyDescent="0.25">
      <c r="A181" s="2">
        <v>45393</v>
      </c>
      <c r="B181" s="7">
        <v>0.54166666666666663</v>
      </c>
      <c r="C181" s="1" t="s">
        <v>11</v>
      </c>
      <c r="D181" s="4" t="s">
        <v>4</v>
      </c>
      <c r="E181" s="11">
        <v>8745</v>
      </c>
      <c r="F181" s="11" t="s">
        <v>35</v>
      </c>
      <c r="G181" s="5">
        <f>Tabla1[[#This Row],[FECHA]]+Tabla1[[#This Row],[HORA]]</f>
        <v>45393.541666666664</v>
      </c>
      <c r="H181" s="9" t="str">
        <f ca="1">IF(Tabla1[[#This Row],[FECHA]]=TODAY(),"HOY","")</f>
        <v/>
      </c>
    </row>
    <row r="182" spans="1:8" x14ac:dyDescent="0.25">
      <c r="A182" s="2">
        <v>45393</v>
      </c>
      <c r="B182" s="7">
        <v>0.58333333333333337</v>
      </c>
      <c r="C182" s="1" t="s">
        <v>10</v>
      </c>
      <c r="D182" s="4" t="s">
        <v>4</v>
      </c>
      <c r="E182" s="11">
        <v>53025</v>
      </c>
      <c r="F182" s="11" t="s">
        <v>35</v>
      </c>
      <c r="G182" s="5">
        <f>Tabla1[[#This Row],[FECHA]]+Tabla1[[#This Row],[HORA]]</f>
        <v>45393.583333333336</v>
      </c>
      <c r="H182" s="9" t="str">
        <f ca="1">IF(Tabla1[[#This Row],[FECHA]]=TODAY(),"HOY","")</f>
        <v/>
      </c>
    </row>
    <row r="183" spans="1:8" x14ac:dyDescent="0.25">
      <c r="A183" s="2">
        <v>45393</v>
      </c>
      <c r="B183" s="7">
        <v>0.58333333333333337</v>
      </c>
      <c r="C183" s="1" t="s">
        <v>40</v>
      </c>
      <c r="D183" s="4" t="s">
        <v>4</v>
      </c>
      <c r="E183" s="11">
        <v>19485</v>
      </c>
      <c r="F183" s="11" t="s">
        <v>40</v>
      </c>
      <c r="G183" s="5">
        <f>Tabla1[[#This Row],[FECHA]]+Tabla1[[#This Row],[HORA]]</f>
        <v>45393.583333333336</v>
      </c>
      <c r="H183" s="9" t="str">
        <f ca="1">IF(Tabla1[[#This Row],[FECHA]]=TODAY(),"HOY","")</f>
        <v/>
      </c>
    </row>
    <row r="184" spans="1:8" x14ac:dyDescent="0.25">
      <c r="A184" s="2">
        <v>45393</v>
      </c>
      <c r="B184" s="7">
        <v>0.625</v>
      </c>
      <c r="C184" s="1" t="s">
        <v>37</v>
      </c>
      <c r="D184" s="4" t="s">
        <v>6</v>
      </c>
      <c r="E184" s="11">
        <v>296</v>
      </c>
      <c r="F184" s="11" t="s">
        <v>37</v>
      </c>
      <c r="G184" s="5">
        <f>Tabla1[[#This Row],[FECHA]]+Tabla1[[#This Row],[HORA]]</f>
        <v>45393.625</v>
      </c>
      <c r="H184" s="9" t="str">
        <f ca="1">IF(Tabla1[[#This Row],[FECHA]]=TODAY(),"HOY","")</f>
        <v/>
      </c>
    </row>
    <row r="185" spans="1:8" x14ac:dyDescent="0.25">
      <c r="A185" s="2">
        <v>45393</v>
      </c>
      <c r="B185" s="7">
        <v>0.66666666666666663</v>
      </c>
      <c r="C185" s="1" t="s">
        <v>22</v>
      </c>
      <c r="D185" s="4" t="s">
        <v>4</v>
      </c>
      <c r="E185" s="11">
        <v>27726</v>
      </c>
      <c r="F185" s="11" t="s">
        <v>35</v>
      </c>
      <c r="G185" s="5">
        <f>Tabla1[[#This Row],[FECHA]]+Tabla1[[#This Row],[HORA]]</f>
        <v>45393.666666666664</v>
      </c>
      <c r="H185" s="9" t="str">
        <f ca="1">IF(Tabla1[[#This Row],[FECHA]]=TODAY(),"HOY","")</f>
        <v/>
      </c>
    </row>
    <row r="186" spans="1:8" x14ac:dyDescent="0.25">
      <c r="A186" s="2">
        <v>45393</v>
      </c>
      <c r="B186" s="7">
        <v>0.66666666666666663</v>
      </c>
      <c r="C186" s="1" t="s">
        <v>15</v>
      </c>
      <c r="D186" s="4" t="s">
        <v>4</v>
      </c>
      <c r="E186" s="11">
        <v>35118</v>
      </c>
      <c r="F186" s="11" t="s">
        <v>35</v>
      </c>
      <c r="G186" s="5">
        <f>Tabla1[[#This Row],[FECHA]]+Tabla1[[#This Row],[HORA]]</f>
        <v>45393.666666666664</v>
      </c>
      <c r="H186" s="9" t="str">
        <f ca="1">IF(Tabla1[[#This Row],[FECHA]]=TODAY(),"HOY","")</f>
        <v/>
      </c>
    </row>
    <row r="187" spans="1:8" x14ac:dyDescent="0.25">
      <c r="A187" s="2">
        <v>45393</v>
      </c>
      <c r="B187" s="7">
        <v>0.66666666666666663</v>
      </c>
      <c r="C187" s="1" t="s">
        <v>10</v>
      </c>
      <c r="D187" s="4" t="s">
        <v>4</v>
      </c>
      <c r="E187" s="11">
        <v>52894</v>
      </c>
      <c r="F187" s="11" t="s">
        <v>35</v>
      </c>
      <c r="G187" s="5">
        <f>Tabla1[[#This Row],[FECHA]]+Tabla1[[#This Row],[HORA]]</f>
        <v>45393.666666666664</v>
      </c>
      <c r="H187" s="9" t="str">
        <f ca="1">IF(Tabla1[[#This Row],[FECHA]]=TODAY(),"HOY","")</f>
        <v/>
      </c>
    </row>
    <row r="188" spans="1:8" x14ac:dyDescent="0.25">
      <c r="A188" s="2">
        <v>45393</v>
      </c>
      <c r="B188" s="7">
        <v>0.66666666666666663</v>
      </c>
      <c r="C188" s="1" t="s">
        <v>11</v>
      </c>
      <c r="D188" s="4" t="s">
        <v>4</v>
      </c>
      <c r="E188" s="11">
        <v>8659</v>
      </c>
      <c r="F188" s="11" t="s">
        <v>35</v>
      </c>
      <c r="G188" s="5">
        <f>Tabla1[[#This Row],[FECHA]]+Tabla1[[#This Row],[HORA]]</f>
        <v>45393.666666666664</v>
      </c>
      <c r="H188" s="9" t="str">
        <f ca="1">IF(Tabla1[[#This Row],[FECHA]]=TODAY(),"HOY","")</f>
        <v/>
      </c>
    </row>
    <row r="189" spans="1:8" x14ac:dyDescent="0.25">
      <c r="A189" s="2">
        <v>45394</v>
      </c>
      <c r="B189" s="7">
        <v>0.33333333333333331</v>
      </c>
      <c r="C189" s="1" t="s">
        <v>13</v>
      </c>
      <c r="D189" s="4" t="s">
        <v>4</v>
      </c>
      <c r="E189" s="11">
        <v>25361</v>
      </c>
      <c r="F189" s="11" t="s">
        <v>35</v>
      </c>
      <c r="G189" s="5">
        <f>Tabla1[[#This Row],[FECHA]]+Tabla1[[#This Row],[HORA]]</f>
        <v>45394.333333333336</v>
      </c>
      <c r="H189" s="9" t="str">
        <f ca="1">IF(Tabla1[[#This Row],[FECHA]]=TODAY(),"HOY","")</f>
        <v/>
      </c>
    </row>
    <row r="190" spans="1:8" x14ac:dyDescent="0.25">
      <c r="A190" s="2">
        <v>45394</v>
      </c>
      <c r="B190" s="7">
        <v>0.41666666666666669</v>
      </c>
      <c r="C190" s="1" t="s">
        <v>13</v>
      </c>
      <c r="D190" s="4" t="s">
        <v>6</v>
      </c>
      <c r="E190" s="11">
        <v>499711</v>
      </c>
      <c r="F190" s="11" t="s">
        <v>35</v>
      </c>
      <c r="G190" s="5">
        <f>Tabla1[[#This Row],[FECHA]]+Tabla1[[#This Row],[HORA]]</f>
        <v>45394.416666666664</v>
      </c>
      <c r="H190" s="9" t="str">
        <f ca="1">IF(Tabla1[[#This Row],[FECHA]]=TODAY(),"HOY","")</f>
        <v/>
      </c>
    </row>
    <row r="191" spans="1:8" x14ac:dyDescent="0.25">
      <c r="A191" s="2">
        <v>45394</v>
      </c>
      <c r="B191" s="7">
        <v>0.41666666666666669</v>
      </c>
      <c r="C191" s="1" t="s">
        <v>10</v>
      </c>
      <c r="D191" s="4" t="s">
        <v>7</v>
      </c>
      <c r="E191" s="11">
        <v>58266</v>
      </c>
      <c r="F191" s="11" t="s">
        <v>35</v>
      </c>
      <c r="G191" s="5">
        <f>Tabla1[[#This Row],[FECHA]]+Tabla1[[#This Row],[HORA]]</f>
        <v>45394.416666666664</v>
      </c>
      <c r="H191" s="9" t="str">
        <f ca="1">IF(Tabla1[[#This Row],[FECHA]]=TODAY(),"HOY","")</f>
        <v/>
      </c>
    </row>
    <row r="192" spans="1:8" x14ac:dyDescent="0.25">
      <c r="A192" s="2">
        <v>45394</v>
      </c>
      <c r="B192" s="7">
        <v>0.41666666666666669</v>
      </c>
      <c r="C192" s="1" t="s">
        <v>11</v>
      </c>
      <c r="D192" s="4" t="s">
        <v>7</v>
      </c>
      <c r="E192" s="11">
        <v>8723</v>
      </c>
      <c r="F192" s="11" t="s">
        <v>35</v>
      </c>
      <c r="G192" s="5">
        <f>Tabla1[[#This Row],[FECHA]]+Tabla1[[#This Row],[HORA]]</f>
        <v>45394.416666666664</v>
      </c>
      <c r="H192" s="9" t="str">
        <f ca="1">IF(Tabla1[[#This Row],[FECHA]]=TODAY(),"HOY","")</f>
        <v/>
      </c>
    </row>
    <row r="193" spans="1:8" x14ac:dyDescent="0.25">
      <c r="A193" s="2">
        <v>45394</v>
      </c>
      <c r="B193" s="7">
        <v>0.39583333333333331</v>
      </c>
      <c r="C193" s="1" t="s">
        <v>22</v>
      </c>
      <c r="D193" s="4" t="s">
        <v>4</v>
      </c>
      <c r="E193" s="11">
        <v>27220</v>
      </c>
      <c r="F193" s="11" t="s">
        <v>35</v>
      </c>
      <c r="G193" s="5">
        <f>Tabla1[[#This Row],[FECHA]]+Tabla1[[#This Row],[HORA]]</f>
        <v>45394.395833333336</v>
      </c>
      <c r="H193" s="9" t="str">
        <f ca="1">IF(Tabla1[[#This Row],[FECHA]]=TODAY(),"HOY","")</f>
        <v/>
      </c>
    </row>
    <row r="194" spans="1:8" x14ac:dyDescent="0.25">
      <c r="A194" s="2">
        <v>45394</v>
      </c>
      <c r="B194" s="7">
        <v>0.41666666666666669</v>
      </c>
      <c r="C194" s="1" t="s">
        <v>22</v>
      </c>
      <c r="D194" s="4" t="s">
        <v>6</v>
      </c>
      <c r="E194" s="11">
        <v>30860</v>
      </c>
      <c r="F194" s="11" t="s">
        <v>35</v>
      </c>
      <c r="G194" s="5">
        <f>Tabla1[[#This Row],[FECHA]]+Tabla1[[#This Row],[HORA]]</f>
        <v>45394.416666666664</v>
      </c>
      <c r="H194" s="9" t="str">
        <f ca="1">IF(Tabla1[[#This Row],[FECHA]]=TODAY(),"HOY","")</f>
        <v/>
      </c>
    </row>
    <row r="195" spans="1:8" x14ac:dyDescent="0.25">
      <c r="A195" s="2">
        <v>45394</v>
      </c>
      <c r="B195" s="7">
        <v>0.41666666666666669</v>
      </c>
      <c r="C195" s="1" t="s">
        <v>15</v>
      </c>
      <c r="D195" s="4" t="s">
        <v>6</v>
      </c>
      <c r="E195" s="11">
        <v>49728</v>
      </c>
      <c r="F195" s="11" t="s">
        <v>35</v>
      </c>
      <c r="G195" s="5">
        <f>Tabla1[[#This Row],[FECHA]]+Tabla1[[#This Row],[HORA]]</f>
        <v>45394.416666666664</v>
      </c>
      <c r="H195" s="9" t="str">
        <f ca="1">IF(Tabla1[[#This Row],[FECHA]]=TODAY(),"HOY","")</f>
        <v/>
      </c>
    </row>
    <row r="196" spans="1:8" x14ac:dyDescent="0.25">
      <c r="A196" s="2">
        <v>45394</v>
      </c>
      <c r="B196" s="7">
        <v>0.39583333333333331</v>
      </c>
      <c r="C196" s="1" t="s">
        <v>15</v>
      </c>
      <c r="D196" s="4" t="s">
        <v>4</v>
      </c>
      <c r="E196" s="11">
        <v>34829</v>
      </c>
      <c r="F196" s="11" t="s">
        <v>35</v>
      </c>
      <c r="G196" s="5">
        <f>Tabla1[[#This Row],[FECHA]]+Tabla1[[#This Row],[HORA]]</f>
        <v>45394.395833333336</v>
      </c>
      <c r="H196" s="9" t="str">
        <f ca="1">IF(Tabla1[[#This Row],[FECHA]]=TODAY(),"HOY","")</f>
        <v/>
      </c>
    </row>
    <row r="197" spans="1:8" x14ac:dyDescent="0.25">
      <c r="A197" s="2">
        <v>45394</v>
      </c>
      <c r="B197" s="7">
        <v>0.52083333333333337</v>
      </c>
      <c r="C197" s="1" t="s">
        <v>11</v>
      </c>
      <c r="D197" s="4" t="s">
        <v>17</v>
      </c>
      <c r="E197" s="11">
        <v>1372</v>
      </c>
      <c r="F197" s="11" t="s">
        <v>35</v>
      </c>
      <c r="G197" s="5">
        <f>Tabla1[[#This Row],[FECHA]]+Tabla1[[#This Row],[HORA]]</f>
        <v>45394.520833333336</v>
      </c>
      <c r="H197" s="9" t="str">
        <f ca="1">IF(Tabla1[[#This Row],[FECHA]]=TODAY(),"HOY","")</f>
        <v/>
      </c>
    </row>
    <row r="198" spans="1:8" x14ac:dyDescent="0.25">
      <c r="A198" s="2">
        <v>45394</v>
      </c>
      <c r="B198" s="7">
        <v>0.41666666666666669</v>
      </c>
      <c r="C198" s="1" t="s">
        <v>11</v>
      </c>
      <c r="D198" s="4" t="s">
        <v>4</v>
      </c>
      <c r="E198" s="11">
        <v>8187</v>
      </c>
      <c r="F198" s="11" t="s">
        <v>35</v>
      </c>
      <c r="G198" s="5">
        <f>Tabla1[[#This Row],[FECHA]]+Tabla1[[#This Row],[HORA]]</f>
        <v>45394.416666666664</v>
      </c>
      <c r="H198" s="9" t="str">
        <f ca="1">IF(Tabla1[[#This Row],[FECHA]]=TODAY(),"HOY","")</f>
        <v/>
      </c>
    </row>
    <row r="199" spans="1:8" x14ac:dyDescent="0.25">
      <c r="A199" s="2">
        <v>45394</v>
      </c>
      <c r="B199" s="7">
        <v>0.4375</v>
      </c>
      <c r="C199" s="1" t="s">
        <v>10</v>
      </c>
      <c r="D199" s="4" t="s">
        <v>4</v>
      </c>
      <c r="E199" s="11">
        <v>68142</v>
      </c>
      <c r="F199" s="11" t="s">
        <v>35</v>
      </c>
      <c r="G199" s="5">
        <f>Tabla1[[#This Row],[FECHA]]+Tabla1[[#This Row],[HORA]]</f>
        <v>45394.4375</v>
      </c>
      <c r="H199" s="9" t="str">
        <f ca="1">IF(Tabla1[[#This Row],[FECHA]]=TODAY(),"HOY","")</f>
        <v/>
      </c>
    </row>
    <row r="200" spans="1:8" x14ac:dyDescent="0.25">
      <c r="A200" s="2">
        <v>45394</v>
      </c>
      <c r="B200" s="7">
        <v>0.5</v>
      </c>
      <c r="C200" s="1" t="s">
        <v>22</v>
      </c>
      <c r="D200" s="4" t="s">
        <v>4</v>
      </c>
      <c r="E200" s="11">
        <v>27220</v>
      </c>
      <c r="F200" s="11" t="s">
        <v>35</v>
      </c>
      <c r="G200" s="5">
        <f>Tabla1[[#This Row],[FECHA]]+Tabla1[[#This Row],[HORA]]</f>
        <v>45394.5</v>
      </c>
      <c r="H200" s="9" t="str">
        <f ca="1">IF(Tabla1[[#This Row],[FECHA]]=TODAY(),"HOY","")</f>
        <v/>
      </c>
    </row>
    <row r="201" spans="1:8" x14ac:dyDescent="0.25">
      <c r="A201" s="2">
        <v>45394</v>
      </c>
      <c r="B201" s="7">
        <v>0.5</v>
      </c>
      <c r="C201" s="1" t="s">
        <v>15</v>
      </c>
      <c r="D201" s="4" t="s">
        <v>4</v>
      </c>
      <c r="E201" s="11">
        <v>34829</v>
      </c>
      <c r="F201" s="11" t="s">
        <v>35</v>
      </c>
      <c r="G201" s="5">
        <f>Tabla1[[#This Row],[FECHA]]+Tabla1[[#This Row],[HORA]]</f>
        <v>45394.5</v>
      </c>
      <c r="H201" s="9" t="str">
        <f ca="1">IF(Tabla1[[#This Row],[FECHA]]=TODAY(),"HOY","")</f>
        <v/>
      </c>
    </row>
    <row r="202" spans="1:8" x14ac:dyDescent="0.25">
      <c r="A202" s="2">
        <v>45394</v>
      </c>
      <c r="B202" s="7">
        <v>0.54166666666666663</v>
      </c>
      <c r="C202" s="1" t="s">
        <v>11</v>
      </c>
      <c r="D202" s="4" t="s">
        <v>4</v>
      </c>
      <c r="E202" s="11">
        <v>8103</v>
      </c>
      <c r="F202" s="11" t="s">
        <v>35</v>
      </c>
      <c r="G202" s="5">
        <f>Tabla1[[#This Row],[FECHA]]+Tabla1[[#This Row],[HORA]]</f>
        <v>45394.541666666664</v>
      </c>
      <c r="H202" s="9" t="str">
        <f ca="1">IF(Tabla1[[#This Row],[FECHA]]=TODAY(),"HOY","")</f>
        <v/>
      </c>
    </row>
    <row r="203" spans="1:8" x14ac:dyDescent="0.25">
      <c r="A203" s="2">
        <v>45394</v>
      </c>
      <c r="B203" s="7">
        <v>0.58333333333333337</v>
      </c>
      <c r="C203" s="1" t="s">
        <v>10</v>
      </c>
      <c r="D203" s="4" t="s">
        <v>4</v>
      </c>
      <c r="E203" s="11">
        <v>62631</v>
      </c>
      <c r="F203" s="11" t="s">
        <v>35</v>
      </c>
      <c r="G203" s="5">
        <f>Tabla1[[#This Row],[FECHA]]+Tabla1[[#This Row],[HORA]]</f>
        <v>45394.583333333336</v>
      </c>
      <c r="H203" s="9" t="str">
        <f ca="1">IF(Tabla1[[#This Row],[FECHA]]=TODAY(),"HOY","")</f>
        <v/>
      </c>
    </row>
    <row r="204" spans="1:8" x14ac:dyDescent="0.25">
      <c r="A204" s="2">
        <v>45394</v>
      </c>
      <c r="B204" s="7">
        <v>0.66666666666666663</v>
      </c>
      <c r="C204" s="1" t="s">
        <v>10</v>
      </c>
      <c r="D204" s="4" t="s">
        <v>4</v>
      </c>
      <c r="E204" s="11">
        <v>60546</v>
      </c>
      <c r="F204" s="11" t="s">
        <v>35</v>
      </c>
      <c r="G204" s="5">
        <f>Tabla1[[#This Row],[FECHA]]+Tabla1[[#This Row],[HORA]]</f>
        <v>45394.666666666664</v>
      </c>
      <c r="H204" s="9" t="str">
        <f ca="1">IF(Tabla1[[#This Row],[FECHA]]=TODAY(),"HOY","")</f>
        <v/>
      </c>
    </row>
    <row r="205" spans="1:8" x14ac:dyDescent="0.25">
      <c r="A205" s="2">
        <v>45394</v>
      </c>
      <c r="B205" s="7">
        <v>0.66666666666666663</v>
      </c>
      <c r="C205" s="1" t="s">
        <v>22</v>
      </c>
      <c r="D205" s="4" t="s">
        <v>4</v>
      </c>
      <c r="E205" s="11">
        <v>27144</v>
      </c>
      <c r="F205" s="11" t="s">
        <v>35</v>
      </c>
      <c r="G205" s="5">
        <f>Tabla1[[#This Row],[FECHA]]+Tabla1[[#This Row],[HORA]]</f>
        <v>45394.666666666664</v>
      </c>
      <c r="H205" s="9" t="str">
        <f ca="1">IF(Tabla1[[#This Row],[FECHA]]=TODAY(),"HOY","")</f>
        <v/>
      </c>
    </row>
    <row r="206" spans="1:8" x14ac:dyDescent="0.25">
      <c r="A206" s="2">
        <v>45394</v>
      </c>
      <c r="B206" s="7">
        <v>0.66666666666666663</v>
      </c>
      <c r="C206" s="1" t="s">
        <v>15</v>
      </c>
      <c r="D206" s="4" t="s">
        <v>4</v>
      </c>
      <c r="E206" s="11">
        <v>34778</v>
      </c>
      <c r="F206" s="11" t="s">
        <v>35</v>
      </c>
      <c r="G206" s="5">
        <f>Tabla1[[#This Row],[FECHA]]+Tabla1[[#This Row],[HORA]]</f>
        <v>45394.666666666664</v>
      </c>
      <c r="H206" s="9" t="str">
        <f ca="1">IF(Tabla1[[#This Row],[FECHA]]=TODAY(),"HOY","")</f>
        <v/>
      </c>
    </row>
    <row r="207" spans="1:8" x14ac:dyDescent="0.25">
      <c r="A207" s="2">
        <v>45394</v>
      </c>
      <c r="B207" s="7">
        <v>0.70833333333333337</v>
      </c>
      <c r="C207" s="1" t="s">
        <v>11</v>
      </c>
      <c r="D207" s="4" t="s">
        <v>4</v>
      </c>
      <c r="E207" s="11">
        <v>8558</v>
      </c>
      <c r="F207" s="11" t="s">
        <v>35</v>
      </c>
      <c r="G207" s="5">
        <f>Tabla1[[#This Row],[FECHA]]+Tabla1[[#This Row],[HORA]]</f>
        <v>45394.708333333336</v>
      </c>
      <c r="H207" s="9" t="str">
        <f ca="1">IF(Tabla1[[#This Row],[FECHA]]=TODAY(),"HOY","")</f>
        <v/>
      </c>
    </row>
    <row r="208" spans="1:8" x14ac:dyDescent="0.25">
      <c r="A208" s="2">
        <v>45395</v>
      </c>
      <c r="B208" s="7">
        <v>0.4375</v>
      </c>
      <c r="C208" s="1" t="s">
        <v>37</v>
      </c>
      <c r="D208" s="4" t="s">
        <v>6</v>
      </c>
      <c r="E208" s="11">
        <v>296</v>
      </c>
      <c r="F208" s="11" t="s">
        <v>37</v>
      </c>
      <c r="G208" s="5">
        <f>Tabla1[[#This Row],[FECHA]]+Tabla1[[#This Row],[HORA]]</f>
        <v>45395.4375</v>
      </c>
      <c r="H208" s="9" t="str">
        <f ca="1">IF(Tabla1[[#This Row],[FECHA]]=TODAY(),"HOY","")</f>
        <v/>
      </c>
    </row>
    <row r="209" spans="1:8" x14ac:dyDescent="0.25">
      <c r="A209" s="2">
        <v>45395</v>
      </c>
      <c r="B209" s="20">
        <v>0.375</v>
      </c>
      <c r="C209" s="1" t="s">
        <v>22</v>
      </c>
      <c r="D209" s="4" t="s">
        <v>6</v>
      </c>
      <c r="E209" s="11">
        <v>33040</v>
      </c>
      <c r="F209" s="11" t="s">
        <v>35</v>
      </c>
      <c r="G209" s="5">
        <f>Tabla1[[#This Row],[FECHA]]+Tabla1[[#This Row],[HORA]]</f>
        <v>45395.375</v>
      </c>
      <c r="H209" s="9" t="str">
        <f ca="1">IF(Tabla1[[#This Row],[FECHA]]=TODAY(),"HOY","")</f>
        <v/>
      </c>
    </row>
    <row r="210" spans="1:8" x14ac:dyDescent="0.25">
      <c r="A210" s="2">
        <v>45395</v>
      </c>
      <c r="B210" s="20">
        <v>0.375</v>
      </c>
      <c r="C210" s="1" t="s">
        <v>15</v>
      </c>
      <c r="D210" s="4" t="s">
        <v>6</v>
      </c>
      <c r="E210" s="11">
        <v>51835</v>
      </c>
      <c r="F210" s="11" t="s">
        <v>35</v>
      </c>
      <c r="G210" s="5">
        <f>Tabla1[[#This Row],[FECHA]]+Tabla1[[#This Row],[HORA]]</f>
        <v>45395.375</v>
      </c>
      <c r="H210" s="9" t="str">
        <f ca="1">IF(Tabla1[[#This Row],[FECHA]]=TODAY(),"HOY","")</f>
        <v/>
      </c>
    </row>
    <row r="211" spans="1:8" x14ac:dyDescent="0.25">
      <c r="A211" s="2">
        <v>45395</v>
      </c>
      <c r="B211" s="20">
        <v>0.375</v>
      </c>
      <c r="C211" s="1" t="s">
        <v>10</v>
      </c>
      <c r="D211" s="4" t="s">
        <v>7</v>
      </c>
      <c r="E211" s="11">
        <v>56142</v>
      </c>
      <c r="F211" s="11" t="s">
        <v>35</v>
      </c>
      <c r="G211" s="5">
        <f>Tabla1[[#This Row],[FECHA]]+Tabla1[[#This Row],[HORA]]</f>
        <v>45395.375</v>
      </c>
      <c r="H211" s="9" t="str">
        <f ca="1">IF(Tabla1[[#This Row],[FECHA]]=TODAY(),"HOY","")</f>
        <v/>
      </c>
    </row>
    <row r="212" spans="1:8" x14ac:dyDescent="0.25">
      <c r="A212" s="2">
        <v>45395</v>
      </c>
      <c r="B212" s="20">
        <v>0.375</v>
      </c>
      <c r="C212" s="1" t="s">
        <v>11</v>
      </c>
      <c r="D212" s="4" t="s">
        <v>7</v>
      </c>
      <c r="E212" s="11">
        <v>8398</v>
      </c>
      <c r="F212" s="11" t="s">
        <v>35</v>
      </c>
      <c r="G212" s="5">
        <f>Tabla1[[#This Row],[FECHA]]+Tabla1[[#This Row],[HORA]]</f>
        <v>45395.375</v>
      </c>
      <c r="H212" s="9" t="str">
        <f ca="1">IF(Tabla1[[#This Row],[FECHA]]=TODAY(),"HOY","")</f>
        <v/>
      </c>
    </row>
    <row r="213" spans="1:8" x14ac:dyDescent="0.25">
      <c r="A213" s="2">
        <v>45395</v>
      </c>
      <c r="B213" s="20">
        <v>0.39583333333333331</v>
      </c>
      <c r="C213" s="1" t="s">
        <v>15</v>
      </c>
      <c r="D213" s="4" t="s">
        <v>17</v>
      </c>
      <c r="E213" s="11">
        <v>4810</v>
      </c>
      <c r="F213" s="11" t="s">
        <v>35</v>
      </c>
      <c r="G213" s="5">
        <f>Tabla1[[#This Row],[FECHA]]+Tabla1[[#This Row],[HORA]]</f>
        <v>45395.395833333336</v>
      </c>
      <c r="H213" s="9" t="str">
        <f ca="1">IF(Tabla1[[#This Row],[FECHA]]=TODAY(),"HOY","")</f>
        <v/>
      </c>
    </row>
    <row r="214" spans="1:8" x14ac:dyDescent="0.25">
      <c r="A214" s="2">
        <v>45395</v>
      </c>
      <c r="B214" s="7">
        <v>0.41666666666666669</v>
      </c>
      <c r="C214" s="1" t="s">
        <v>37</v>
      </c>
      <c r="D214" s="4" t="s">
        <v>4</v>
      </c>
      <c r="E214" s="11">
        <v>218</v>
      </c>
      <c r="F214" s="11" t="s">
        <v>37</v>
      </c>
      <c r="G214" s="5">
        <f>Tabla1[[#This Row],[FECHA]]+Tabla1[[#This Row],[HORA]]</f>
        <v>45395.416666666664</v>
      </c>
      <c r="H214" s="9" t="str">
        <f ca="1">IF(Tabla1[[#This Row],[FECHA]]=TODAY(),"HOY","")</f>
        <v/>
      </c>
    </row>
    <row r="215" spans="1:8" x14ac:dyDescent="0.25">
      <c r="A215" s="2">
        <v>45395</v>
      </c>
      <c r="B215" s="7">
        <v>0.41666666666666669</v>
      </c>
      <c r="C215" s="1" t="s">
        <v>10</v>
      </c>
      <c r="D215" s="4" t="s">
        <v>4</v>
      </c>
      <c r="E215" s="11">
        <v>56361</v>
      </c>
      <c r="F215" s="11" t="s">
        <v>35</v>
      </c>
      <c r="G215" s="5">
        <f>Tabla1[[#This Row],[FECHA]]+Tabla1[[#This Row],[HORA]]</f>
        <v>45395.416666666664</v>
      </c>
      <c r="H215" s="9" t="str">
        <f ca="1">IF(Tabla1[[#This Row],[FECHA]]=TODAY(),"HOY","")</f>
        <v/>
      </c>
    </row>
    <row r="216" spans="1:8" x14ac:dyDescent="0.25">
      <c r="A216" s="2">
        <v>45395</v>
      </c>
      <c r="B216" s="7">
        <v>0.41666666666666669</v>
      </c>
      <c r="C216" s="1" t="s">
        <v>18</v>
      </c>
      <c r="D216" s="4" t="s">
        <v>4</v>
      </c>
      <c r="E216" s="11">
        <v>2755</v>
      </c>
      <c r="F216" s="11" t="s">
        <v>35</v>
      </c>
      <c r="G216" s="5">
        <f>Tabla1[[#This Row],[FECHA]]+Tabla1[[#This Row],[HORA]]</f>
        <v>45395.416666666664</v>
      </c>
      <c r="H216" s="9" t="str">
        <f ca="1">IF(Tabla1[[#This Row],[FECHA]]=TODAY(),"HOY","")</f>
        <v/>
      </c>
    </row>
    <row r="217" spans="1:8" x14ac:dyDescent="0.25">
      <c r="A217" s="2">
        <v>45395</v>
      </c>
      <c r="B217" s="7">
        <v>0.41666666666666669</v>
      </c>
      <c r="C217" s="1" t="s">
        <v>20</v>
      </c>
      <c r="D217" s="4" t="s">
        <v>4</v>
      </c>
      <c r="E217" s="11">
        <v>2813</v>
      </c>
      <c r="F217" s="11" t="s">
        <v>35</v>
      </c>
      <c r="G217" s="5">
        <f>Tabla1[[#This Row],[FECHA]]+Tabla1[[#This Row],[HORA]]</f>
        <v>45395.416666666664</v>
      </c>
      <c r="H217" s="9" t="str">
        <f ca="1">IF(Tabla1[[#This Row],[FECHA]]=TODAY(),"HOY","")</f>
        <v/>
      </c>
    </row>
    <row r="218" spans="1:8" x14ac:dyDescent="0.25">
      <c r="A218" s="2">
        <v>45395</v>
      </c>
      <c r="B218" s="7">
        <v>0.41666666666666669</v>
      </c>
      <c r="C218" s="1" t="s">
        <v>21</v>
      </c>
      <c r="D218" s="4" t="s">
        <v>4</v>
      </c>
      <c r="E218" s="11">
        <v>64940</v>
      </c>
      <c r="F218" s="11" t="s">
        <v>35</v>
      </c>
      <c r="G218" s="5">
        <f>Tabla1[[#This Row],[FECHA]]+Tabla1[[#This Row],[HORA]]</f>
        <v>45395.416666666664</v>
      </c>
      <c r="H218" s="9" t="str">
        <f ca="1">IF(Tabla1[[#This Row],[FECHA]]=TODAY(),"HOY","")</f>
        <v/>
      </c>
    </row>
    <row r="219" spans="1:8" x14ac:dyDescent="0.25">
      <c r="A219" s="2">
        <v>45395</v>
      </c>
      <c r="B219" s="7">
        <v>0.41666666666666669</v>
      </c>
      <c r="C219" s="1" t="s">
        <v>11</v>
      </c>
      <c r="D219" s="4" t="s">
        <v>4</v>
      </c>
      <c r="E219" s="11">
        <v>7986</v>
      </c>
      <c r="F219" s="11" t="s">
        <v>35</v>
      </c>
      <c r="G219" s="5">
        <f>Tabla1[[#This Row],[FECHA]]+Tabla1[[#This Row],[HORA]]</f>
        <v>45395.416666666664</v>
      </c>
      <c r="H219" s="9" t="str">
        <f ca="1">IF(Tabla1[[#This Row],[FECHA]]=TODAY(),"HOY","")</f>
        <v/>
      </c>
    </row>
    <row r="220" spans="1:8" x14ac:dyDescent="0.25">
      <c r="A220" s="2">
        <v>45395</v>
      </c>
      <c r="B220" s="7">
        <v>0.41666666666666669</v>
      </c>
      <c r="C220" s="1" t="s">
        <v>12</v>
      </c>
      <c r="D220" s="4" t="s">
        <v>4</v>
      </c>
      <c r="E220" s="11">
        <v>17422</v>
      </c>
      <c r="F220" s="11" t="s">
        <v>35</v>
      </c>
      <c r="G220" s="5">
        <f>Tabla1[[#This Row],[FECHA]]+Tabla1[[#This Row],[HORA]]</f>
        <v>45395.416666666664</v>
      </c>
      <c r="H220" s="9" t="str">
        <f ca="1">IF(Tabla1[[#This Row],[FECHA]]=TODAY(),"HOY","")</f>
        <v/>
      </c>
    </row>
    <row r="221" spans="1:8" x14ac:dyDescent="0.25">
      <c r="A221" s="2">
        <v>45395</v>
      </c>
      <c r="B221" s="7">
        <v>0.41666666666666669</v>
      </c>
      <c r="C221" s="1" t="s">
        <v>14</v>
      </c>
      <c r="D221" s="4" t="s">
        <v>4</v>
      </c>
      <c r="E221" s="11">
        <v>3344</v>
      </c>
      <c r="F221" s="11" t="s">
        <v>35</v>
      </c>
      <c r="G221" s="5">
        <f>Tabla1[[#This Row],[FECHA]]+Tabla1[[#This Row],[HORA]]</f>
        <v>45395.416666666664</v>
      </c>
      <c r="H221" s="9" t="str">
        <f ca="1">IF(Tabla1[[#This Row],[FECHA]]=TODAY(),"HOY","")</f>
        <v/>
      </c>
    </row>
    <row r="222" spans="1:8" x14ac:dyDescent="0.25">
      <c r="A222" s="2">
        <v>45395</v>
      </c>
      <c r="B222" s="7">
        <v>0.39583333333333331</v>
      </c>
      <c r="C222" s="1" t="s">
        <v>22</v>
      </c>
      <c r="D222" s="4" t="s">
        <v>4</v>
      </c>
      <c r="E222" s="11">
        <v>27084</v>
      </c>
      <c r="F222" s="11" t="s">
        <v>35</v>
      </c>
      <c r="G222" s="5">
        <f>Tabla1[[#This Row],[FECHA]]+Tabla1[[#This Row],[HORA]]</f>
        <v>45395.395833333336</v>
      </c>
      <c r="H222" s="9" t="str">
        <f ca="1">IF(Tabla1[[#This Row],[FECHA]]=TODAY(),"HOY","")</f>
        <v/>
      </c>
    </row>
    <row r="223" spans="1:8" x14ac:dyDescent="0.25">
      <c r="A223" s="2">
        <v>45395</v>
      </c>
      <c r="B223" s="7">
        <v>0.39583333333333331</v>
      </c>
      <c r="C223" s="1" t="s">
        <v>15</v>
      </c>
      <c r="D223" s="4" t="s">
        <v>4</v>
      </c>
      <c r="E223" s="11">
        <v>34460</v>
      </c>
      <c r="F223" s="11" t="s">
        <v>35</v>
      </c>
      <c r="G223" s="5">
        <f>Tabla1[[#This Row],[FECHA]]+Tabla1[[#This Row],[HORA]]</f>
        <v>45395.395833333336</v>
      </c>
      <c r="H223" s="9" t="str">
        <f ca="1">IF(Tabla1[[#This Row],[FECHA]]=TODAY(),"HOY","")</f>
        <v/>
      </c>
    </row>
    <row r="224" spans="1:8" x14ac:dyDescent="0.25">
      <c r="A224" s="2"/>
      <c r="B224" s="7"/>
      <c r="D224" s="4"/>
      <c r="E224" s="11"/>
      <c r="F224" s="11"/>
      <c r="G224" s="5"/>
      <c r="H224" s="9"/>
    </row>
    <row r="225" spans="1:8" x14ac:dyDescent="0.25">
      <c r="A225" s="2"/>
      <c r="B225" s="7"/>
      <c r="D225" s="4"/>
      <c r="E225" s="11"/>
      <c r="F225" s="11"/>
      <c r="G225" s="5"/>
      <c r="H225" s="9"/>
    </row>
    <row r="226" spans="1:8" x14ac:dyDescent="0.25">
      <c r="A226" s="2"/>
      <c r="B226" s="7"/>
      <c r="D226" s="4"/>
      <c r="E226" s="11"/>
      <c r="F226" s="11"/>
      <c r="G226" s="5"/>
      <c r="H226" s="9"/>
    </row>
    <row r="227" spans="1:8" x14ac:dyDescent="0.25">
      <c r="A227" s="2"/>
      <c r="B227" s="7"/>
      <c r="D227" s="4"/>
      <c r="E227" s="11"/>
      <c r="F227" s="11"/>
      <c r="G227" s="5"/>
      <c r="H227" s="9"/>
    </row>
    <row r="228" spans="1:8" x14ac:dyDescent="0.25">
      <c r="A228" s="2"/>
      <c r="B228" s="7"/>
      <c r="D228" s="4"/>
      <c r="E228" s="11"/>
      <c r="F228" s="11"/>
      <c r="G228" s="5"/>
      <c r="H228" s="9"/>
    </row>
    <row r="229" spans="1:8" x14ac:dyDescent="0.25">
      <c r="A229" s="2"/>
      <c r="B229" s="7"/>
      <c r="D229" s="4"/>
      <c r="E229" s="11"/>
      <c r="F229" s="11"/>
      <c r="G229" s="5"/>
      <c r="H229" s="9"/>
    </row>
  </sheetData>
  <phoneticPr fontId="4" type="noConversion"/>
  <dataValidations disablePrompts="1" count="1">
    <dataValidation type="list" allowBlank="1" showInputMessage="1" showErrorMessage="1" sqref="C2:C223" xr:uid="{25045F9D-62AC-4408-A56F-481AFFC10766}">
      <formula1>MULTICAMPAÑAS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D1E2AB8-A956-4148-B359-3A73E9FB1D42}">
          <x14:formula1>
            <xm:f>' '!$B$1:$B$8</xm:f>
          </x14:formula1>
          <xm:sqref>D2:D223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01E69-F4B9-4EB0-96FB-351A6029F774}">
  <sheetPr codeName="Hoja1"/>
  <dimension ref="A1:S51"/>
  <sheetViews>
    <sheetView showGridLines="0" showRowColHeaders="0" tabSelected="1" topLeftCell="A4" zoomScale="85" zoomScaleNormal="85" workbookViewId="0">
      <selection activeCell="R27" sqref="R27"/>
    </sheetView>
  </sheetViews>
  <sheetFormatPr baseColWidth="10" defaultColWidth="0" defaultRowHeight="15" zeroHeight="1" x14ac:dyDescent="0.25"/>
  <cols>
    <col min="1" max="15" width="11.42578125" customWidth="1"/>
    <col min="16" max="16" width="6" bestFit="1" customWidth="1"/>
    <col min="17" max="17" width="30.42578125" customWidth="1"/>
    <col min="18" max="18" width="20" customWidth="1"/>
    <col min="19" max="19" width="13.140625" customWidth="1"/>
    <col min="20" max="20" width="5.42578125" customWidth="1"/>
    <col min="21" max="16384" width="11.42578125" hidden="1"/>
  </cols>
  <sheetData>
    <row r="1" spans="17:19" x14ac:dyDescent="0.25"/>
    <row r="2" spans="17:19" x14ac:dyDescent="0.25"/>
    <row r="3" spans="17:19" x14ac:dyDescent="0.25"/>
    <row r="4" spans="17:19" x14ac:dyDescent="0.25"/>
    <row r="5" spans="17:19" x14ac:dyDescent="0.25"/>
    <row r="6" spans="17:19" x14ac:dyDescent="0.25"/>
    <row r="7" spans="17:19" x14ac:dyDescent="0.25"/>
    <row r="8" spans="17:19" ht="15.75" x14ac:dyDescent="0.25">
      <c r="Q8" s="81" t="s">
        <v>51</v>
      </c>
      <c r="R8" s="81" t="s">
        <v>44</v>
      </c>
      <c r="S8" s="82" t="s">
        <v>50</v>
      </c>
    </row>
    <row r="9" spans="17:19" x14ac:dyDescent="0.25">
      <c r="Q9" s="56" t="s">
        <v>53</v>
      </c>
      <c r="R9" s="55"/>
      <c r="S9" s="62"/>
    </row>
    <row r="10" spans="17:19" x14ac:dyDescent="0.25">
      <c r="Q10" s="66" t="s">
        <v>52</v>
      </c>
      <c r="R10" s="55">
        <v>149415</v>
      </c>
      <c r="S10" s="62">
        <v>0.40175690500774391</v>
      </c>
    </row>
    <row r="11" spans="17:19" x14ac:dyDescent="0.25">
      <c r="Q11" s="67" t="s">
        <v>6</v>
      </c>
      <c r="R11" s="55">
        <v>84875</v>
      </c>
      <c r="S11" s="62">
        <v>0.22821749698847013</v>
      </c>
    </row>
    <row r="12" spans="17:19" x14ac:dyDescent="0.25">
      <c r="Q12" s="67" t="s">
        <v>7</v>
      </c>
      <c r="R12" s="55">
        <v>64540</v>
      </c>
      <c r="S12" s="62">
        <v>0.17353940801927378</v>
      </c>
    </row>
    <row r="13" spans="17:19" x14ac:dyDescent="0.25">
      <c r="Q13" s="66" t="s">
        <v>54</v>
      </c>
      <c r="R13" s="55">
        <v>66354</v>
      </c>
      <c r="S13" s="62">
        <v>0.17841701084150749</v>
      </c>
    </row>
    <row r="14" spans="17:19" x14ac:dyDescent="0.25">
      <c r="Q14" s="67" t="s">
        <v>17</v>
      </c>
      <c r="R14" s="55">
        <v>4810</v>
      </c>
      <c r="S14" s="62">
        <v>1.2933445190156599E-2</v>
      </c>
    </row>
    <row r="15" spans="17:19" x14ac:dyDescent="0.25">
      <c r="Q15" s="67" t="s">
        <v>4</v>
      </c>
      <c r="R15" s="55">
        <v>61544</v>
      </c>
      <c r="S15" s="62">
        <v>0.16548356565135089</v>
      </c>
    </row>
    <row r="16" spans="17:19" x14ac:dyDescent="0.25">
      <c r="Q16" s="56" t="s">
        <v>55</v>
      </c>
      <c r="R16" s="55"/>
      <c r="S16" s="62"/>
    </row>
    <row r="17" spans="17:19" x14ac:dyDescent="0.25">
      <c r="Q17" s="66" t="s">
        <v>52</v>
      </c>
      <c r="R17" s="55">
        <v>155839</v>
      </c>
      <c r="S17" s="62">
        <v>0.41903017983135432</v>
      </c>
    </row>
    <row r="18" spans="17:19" x14ac:dyDescent="0.25">
      <c r="Q18" s="67" t="s">
        <v>4</v>
      </c>
      <c r="R18" s="55">
        <v>155839</v>
      </c>
      <c r="S18" s="62">
        <v>0.41903017983135432</v>
      </c>
    </row>
    <row r="19" spans="17:19" x14ac:dyDescent="0.25">
      <c r="Q19" s="66" t="s">
        <v>54</v>
      </c>
      <c r="R19" s="55">
        <v>296</v>
      </c>
      <c r="S19" s="62">
        <v>7.9590431939425231E-4</v>
      </c>
    </row>
    <row r="20" spans="17:19" x14ac:dyDescent="0.25">
      <c r="Q20" s="67" t="s">
        <v>6</v>
      </c>
      <c r="R20" s="55">
        <v>296</v>
      </c>
      <c r="S20" s="62">
        <v>7.9590431939425231E-4</v>
      </c>
    </row>
    <row r="21" spans="17:19" x14ac:dyDescent="0.25">
      <c r="Q21" s="56" t="s">
        <v>27</v>
      </c>
      <c r="R21" s="55">
        <v>371904</v>
      </c>
      <c r="S21" s="62">
        <v>1</v>
      </c>
    </row>
    <row r="22" spans="17:19" x14ac:dyDescent="0.25"/>
    <row r="23" spans="17:19" x14ac:dyDescent="0.25"/>
    <row r="24" spans="17:19" x14ac:dyDescent="0.25"/>
    <row r="25" spans="17:19" x14ac:dyDescent="0.25"/>
    <row r="26" spans="17:19" x14ac:dyDescent="0.25"/>
    <row r="27" spans="17:19" x14ac:dyDescent="0.25"/>
    <row r="28" spans="17:19" x14ac:dyDescent="0.25"/>
    <row r="29" spans="17:19" x14ac:dyDescent="0.25"/>
    <row r="30" spans="17:19" x14ac:dyDescent="0.25"/>
    <row r="31" spans="17:19" x14ac:dyDescent="0.25"/>
    <row r="32" spans="17:19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hidden="1" x14ac:dyDescent="0.25"/>
    <row r="47" customFormat="1" hidden="1" x14ac:dyDescent="0.25"/>
    <row r="48" customFormat="1" hidden="1" x14ac:dyDescent="0.25"/>
    <row r="49" customFormat="1" hidden="1" x14ac:dyDescent="0.25"/>
    <row r="50" customFormat="1" hidden="1" x14ac:dyDescent="0.25"/>
    <row r="51" customFormat="1" hidden="1" x14ac:dyDescent="0.25"/>
  </sheetData>
  <pageMargins left="0.7" right="0.7" top="0.75" bottom="0.75" header="0.3" footer="0.3"/>
  <pageSetup orientation="portrait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9AF07-D5B5-413A-9286-2B9EF1162086}">
  <sheetPr codeName="Hoja6"/>
  <dimension ref="A1:S44"/>
  <sheetViews>
    <sheetView showGridLines="0" showRowColHeaders="0" zoomScale="80" zoomScaleNormal="80" workbookViewId="0">
      <selection activeCell="Q44" sqref="Q44"/>
    </sheetView>
  </sheetViews>
  <sheetFormatPr baseColWidth="10" defaultColWidth="0" defaultRowHeight="15" customHeight="1" zeroHeight="1" x14ac:dyDescent="0.25"/>
  <cols>
    <col min="1" max="1" width="3.85546875" customWidth="1"/>
    <col min="2" max="2" width="20.28515625" bestFit="1" customWidth="1"/>
    <col min="3" max="15" width="13.7109375" customWidth="1"/>
    <col min="16" max="16" width="19.7109375" customWidth="1"/>
    <col min="17" max="17" width="6.42578125" customWidth="1"/>
    <col min="18" max="18" width="20" hidden="1" customWidth="1"/>
    <col min="19" max="19" width="6" hidden="1" customWidth="1"/>
    <col min="20" max="16384" width="11.42578125" hidden="1"/>
  </cols>
  <sheetData>
    <row r="1" ht="15" customHeight="1" x14ac:dyDescent="0.25"/>
    <row r="2" ht="15" customHeight="1" x14ac:dyDescent="0.25"/>
    <row r="3" ht="15" customHeight="1" x14ac:dyDescent="0.25"/>
    <row r="4" ht="15" customHeight="1" x14ac:dyDescent="0.25"/>
    <row r="5" ht="15" customHeight="1" x14ac:dyDescent="0.25"/>
    <row r="6" ht="15" customHeight="1" x14ac:dyDescent="0.25"/>
    <row r="7" ht="15" customHeight="1" x14ac:dyDescent="0.25"/>
    <row r="8" ht="15" customHeight="1" x14ac:dyDescent="0.25"/>
    <row r="9" ht="15" customHeight="1" x14ac:dyDescent="0.25"/>
    <row r="10" ht="15" customHeight="1" x14ac:dyDescent="0.25"/>
    <row r="11" ht="15" customHeight="1" x14ac:dyDescent="0.25"/>
    <row r="12" ht="15" customHeight="1" x14ac:dyDescent="0.25"/>
    <row r="13" ht="15" customHeight="1" x14ac:dyDescent="0.25"/>
    <row r="14" ht="15" customHeight="1" x14ac:dyDescent="0.25"/>
    <row r="15" ht="15" customHeight="1" x14ac:dyDescent="0.25"/>
    <row r="16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spans="2:16" ht="15" customHeight="1" x14ac:dyDescent="0.25"/>
    <row r="34" spans="2:16" ht="15" customHeight="1" x14ac:dyDescent="0.25"/>
    <row r="35" spans="2:16" ht="15" customHeight="1" x14ac:dyDescent="0.25"/>
    <row r="36" spans="2:16" ht="15" customHeight="1" x14ac:dyDescent="0.25">
      <c r="B36" s="23" t="s">
        <v>28</v>
      </c>
      <c r="C36" s="15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</row>
    <row r="37" spans="2:16" ht="15" customHeight="1" x14ac:dyDescent="0.25">
      <c r="B37" s="15"/>
      <c r="C37" s="22" t="s">
        <v>13</v>
      </c>
      <c r="D37" s="22" t="s">
        <v>10</v>
      </c>
      <c r="E37" s="22" t="s">
        <v>18</v>
      </c>
      <c r="F37" s="22" t="s">
        <v>19</v>
      </c>
      <c r="G37" s="22" t="s">
        <v>20</v>
      </c>
      <c r="H37" s="22" t="s">
        <v>21</v>
      </c>
      <c r="I37" s="22" t="s">
        <v>11</v>
      </c>
      <c r="J37" s="22" t="s">
        <v>12</v>
      </c>
      <c r="K37" s="22" t="s">
        <v>14</v>
      </c>
      <c r="L37" s="22" t="s">
        <v>22</v>
      </c>
      <c r="M37" s="22" t="s">
        <v>37</v>
      </c>
      <c r="N37" s="22" t="s">
        <v>15</v>
      </c>
      <c r="O37" s="22" t="s">
        <v>40</v>
      </c>
      <c r="P37" s="63" t="s">
        <v>27</v>
      </c>
    </row>
    <row r="38" spans="2:16" ht="15" customHeight="1" x14ac:dyDescent="0.25">
      <c r="B38" s="16" t="s">
        <v>6</v>
      </c>
      <c r="C38" s="18">
        <v>1453568</v>
      </c>
      <c r="D38" s="18">
        <v>36494</v>
      </c>
      <c r="E38" s="18">
        <v>178</v>
      </c>
      <c r="F38" s="18">
        <v>167</v>
      </c>
      <c r="G38" s="18">
        <v>138</v>
      </c>
      <c r="H38" s="18">
        <v>1021</v>
      </c>
      <c r="I38" s="18">
        <v>9162</v>
      </c>
      <c r="J38" s="18">
        <v>14098</v>
      </c>
      <c r="K38" s="18">
        <v>705</v>
      </c>
      <c r="L38" s="18">
        <v>245519</v>
      </c>
      <c r="M38" s="18">
        <v>1776</v>
      </c>
      <c r="N38" s="18">
        <v>293962</v>
      </c>
      <c r="O38" s="18"/>
      <c r="P38" s="18">
        <v>2056788</v>
      </c>
    </row>
    <row r="39" spans="2:16" ht="15" customHeight="1" x14ac:dyDescent="0.25">
      <c r="B39" s="16" t="s">
        <v>7</v>
      </c>
      <c r="C39" s="18"/>
      <c r="D39" s="18">
        <v>401148</v>
      </c>
      <c r="E39" s="18"/>
      <c r="F39" s="18"/>
      <c r="G39" s="18"/>
      <c r="H39" s="18"/>
      <c r="I39" s="18">
        <v>64610</v>
      </c>
      <c r="J39" s="18"/>
      <c r="K39" s="18"/>
      <c r="L39" s="18">
        <v>94635</v>
      </c>
      <c r="M39" s="18">
        <v>29</v>
      </c>
      <c r="N39" s="18">
        <v>37953</v>
      </c>
      <c r="O39" s="18"/>
      <c r="P39" s="18">
        <v>598375</v>
      </c>
    </row>
    <row r="40" spans="2:16" ht="15" customHeight="1" x14ac:dyDescent="0.25">
      <c r="B40" s="16" t="s">
        <v>17</v>
      </c>
      <c r="C40" s="18"/>
      <c r="D40" s="18">
        <v>51220</v>
      </c>
      <c r="E40" s="18"/>
      <c r="F40" s="18"/>
      <c r="G40" s="18"/>
      <c r="H40" s="18"/>
      <c r="I40" s="18">
        <v>22270</v>
      </c>
      <c r="J40" s="18"/>
      <c r="K40" s="18"/>
      <c r="L40" s="18">
        <v>32162</v>
      </c>
      <c r="M40" s="18"/>
      <c r="N40" s="18">
        <v>30741</v>
      </c>
      <c r="O40" s="18">
        <v>8426</v>
      </c>
      <c r="P40" s="18">
        <v>144819</v>
      </c>
    </row>
    <row r="41" spans="2:16" ht="15" customHeight="1" x14ac:dyDescent="0.25">
      <c r="B41" s="16" t="s">
        <v>4</v>
      </c>
      <c r="C41" s="18">
        <v>630936</v>
      </c>
      <c r="D41" s="18">
        <v>909748</v>
      </c>
      <c r="E41" s="18">
        <v>15527</v>
      </c>
      <c r="F41" s="18">
        <v>11018</v>
      </c>
      <c r="G41" s="18">
        <v>15243</v>
      </c>
      <c r="H41" s="18">
        <v>310469</v>
      </c>
      <c r="I41" s="18">
        <v>190855</v>
      </c>
      <c r="J41" s="18">
        <v>160128</v>
      </c>
      <c r="K41" s="18">
        <v>18216</v>
      </c>
      <c r="L41" s="18">
        <v>692583</v>
      </c>
      <c r="M41" s="18">
        <v>1262</v>
      </c>
      <c r="N41" s="18">
        <v>656235</v>
      </c>
      <c r="O41" s="18">
        <v>68359</v>
      </c>
      <c r="P41" s="18">
        <v>3680579</v>
      </c>
    </row>
    <row r="42" spans="2:16" ht="15" customHeight="1" x14ac:dyDescent="0.25">
      <c r="B42" s="17" t="s">
        <v>27</v>
      </c>
      <c r="C42" s="18">
        <v>2084504</v>
      </c>
      <c r="D42" s="18">
        <v>1398610</v>
      </c>
      <c r="E42" s="18">
        <v>15705</v>
      </c>
      <c r="F42" s="18">
        <v>11185</v>
      </c>
      <c r="G42" s="18">
        <v>15381</v>
      </c>
      <c r="H42" s="18">
        <v>311490</v>
      </c>
      <c r="I42" s="18">
        <v>286897</v>
      </c>
      <c r="J42" s="18">
        <v>174226</v>
      </c>
      <c r="K42" s="18">
        <v>18921</v>
      </c>
      <c r="L42" s="18">
        <v>1064899</v>
      </c>
      <c r="M42" s="18">
        <v>3067</v>
      </c>
      <c r="N42" s="18">
        <v>1018891</v>
      </c>
      <c r="O42" s="18">
        <v>76785</v>
      </c>
      <c r="P42" s="18">
        <v>6480561</v>
      </c>
    </row>
    <row r="43" spans="2:16" ht="15" customHeight="1" x14ac:dyDescent="0.25">
      <c r="O43" s="15"/>
      <c r="P43" s="15"/>
    </row>
    <row r="44" spans="2:16" ht="15" customHeight="1" x14ac:dyDescent="0.25"/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026D2-E283-4264-808D-57064DD1700C}">
  <sheetPr codeName="Hoja5"/>
  <dimension ref="A1:R30"/>
  <sheetViews>
    <sheetView showGridLines="0" showRowColHeaders="0" zoomScaleNormal="100" zoomScaleSheetLayoutView="100" workbookViewId="0">
      <selection activeCell="B12" sqref="B12"/>
    </sheetView>
  </sheetViews>
  <sheetFormatPr baseColWidth="10" defaultColWidth="0" defaultRowHeight="15" zeroHeight="1" x14ac:dyDescent="0.25"/>
  <cols>
    <col min="1" max="1" width="3.7109375" customWidth="1"/>
    <col min="2" max="2" width="28" customWidth="1"/>
    <col min="3" max="8" width="12.7109375" style="1" customWidth="1"/>
    <col min="9" max="9" width="11.42578125" style="1" customWidth="1"/>
    <col min="10" max="10" width="12.42578125" style="1" customWidth="1"/>
    <col min="11" max="14" width="12.7109375" style="1" hidden="1" customWidth="1"/>
    <col min="15" max="15" width="0" hidden="1" customWidth="1"/>
    <col min="16" max="16" width="22" customWidth="1"/>
    <col min="17" max="17" width="5.28515625" customWidth="1"/>
    <col min="18" max="18" width="0" hidden="1" customWidth="1"/>
    <col min="19" max="16384" width="11.42578125" hidden="1"/>
  </cols>
  <sheetData>
    <row r="1" spans="2:16" x14ac:dyDescent="0.25"/>
    <row r="2" spans="2:16" ht="20.100000000000001" customHeight="1" x14ac:dyDescent="0.25">
      <c r="B2" s="76" t="s">
        <v>45</v>
      </c>
      <c r="C2" s="77" t="s">
        <v>4</v>
      </c>
      <c r="D2" s="78"/>
      <c r="E2" s="79" t="s">
        <v>5</v>
      </c>
      <c r="F2" s="80"/>
      <c r="G2" s="77" t="s">
        <v>16</v>
      </c>
      <c r="H2" s="78"/>
      <c r="I2" s="79" t="s">
        <v>17</v>
      </c>
      <c r="J2" s="80"/>
      <c r="K2" s="77" t="s">
        <v>42</v>
      </c>
      <c r="L2" s="78"/>
      <c r="M2" s="79" t="s">
        <v>41</v>
      </c>
      <c r="N2" s="80"/>
      <c r="O2" s="77" t="s">
        <v>48</v>
      </c>
      <c r="P2" s="78"/>
    </row>
    <row r="3" spans="2:16" ht="15" customHeight="1" x14ac:dyDescent="0.25">
      <c r="B3" s="76"/>
      <c r="C3" s="25" t="s">
        <v>44</v>
      </c>
      <c r="D3" s="27" t="s">
        <v>43</v>
      </c>
      <c r="E3" s="26" t="s">
        <v>46</v>
      </c>
      <c r="F3" s="28" t="s">
        <v>43</v>
      </c>
      <c r="G3" s="25" t="s">
        <v>44</v>
      </c>
      <c r="H3" s="27" t="s">
        <v>43</v>
      </c>
      <c r="I3" s="26" t="s">
        <v>49</v>
      </c>
      <c r="J3" s="28" t="s">
        <v>43</v>
      </c>
      <c r="K3" s="25" t="s">
        <v>44</v>
      </c>
      <c r="L3" s="27" t="s">
        <v>43</v>
      </c>
      <c r="M3" s="26" t="s">
        <v>44</v>
      </c>
      <c r="N3" s="28" t="s">
        <v>43</v>
      </c>
      <c r="O3" s="25" t="s">
        <v>44</v>
      </c>
      <c r="P3" s="27" t="s">
        <v>43</v>
      </c>
    </row>
    <row r="4" spans="2:16" x14ac:dyDescent="0.25">
      <c r="B4" s="30">
        <v>45384</v>
      </c>
      <c r="C4" s="32">
        <v>222</v>
      </c>
      <c r="D4" s="37">
        <f>+C4*2.05</f>
        <v>455.09999999999997</v>
      </c>
      <c r="E4" s="36"/>
      <c r="F4" s="37"/>
      <c r="G4" s="36"/>
      <c r="H4" s="38"/>
      <c r="I4" s="36">
        <v>0</v>
      </c>
      <c r="J4" s="37"/>
      <c r="K4" s="36"/>
      <c r="L4" s="33"/>
      <c r="M4" s="32"/>
      <c r="N4" s="33"/>
      <c r="O4" s="35"/>
      <c r="P4" s="39">
        <f>+D4+F4+H4+J4</f>
        <v>455.09999999999997</v>
      </c>
    </row>
    <row r="5" spans="2:16" x14ac:dyDescent="0.25">
      <c r="B5" s="30">
        <v>45385</v>
      </c>
      <c r="C5" s="32">
        <v>45201</v>
      </c>
      <c r="D5" s="37">
        <f t="shared" ref="D5:D13" si="0">+C5*2.05</f>
        <v>92662.049999999988</v>
      </c>
      <c r="E5" s="36"/>
      <c r="F5" s="37"/>
      <c r="G5" s="36"/>
      <c r="H5" s="38"/>
      <c r="I5" s="36">
        <v>7071</v>
      </c>
      <c r="J5" s="37">
        <f t="shared" ref="J5:J11" si="1">+I5*310</f>
        <v>2192010</v>
      </c>
      <c r="K5" s="36"/>
      <c r="L5" s="33"/>
      <c r="M5" s="32"/>
      <c r="N5" s="33"/>
      <c r="O5" s="35"/>
      <c r="P5" s="39">
        <f t="shared" ref="P5:P12" si="2">+D5+F5+H5+J5</f>
        <v>2284672.0499999998</v>
      </c>
    </row>
    <row r="6" spans="2:16" x14ac:dyDescent="0.25">
      <c r="B6" s="30">
        <v>45386</v>
      </c>
      <c r="C6" s="32">
        <v>75604</v>
      </c>
      <c r="D6" s="37">
        <f t="shared" si="0"/>
        <v>154988.19999999998</v>
      </c>
      <c r="E6" s="36"/>
      <c r="F6" s="37"/>
      <c r="G6" s="36"/>
      <c r="H6" s="38"/>
      <c r="I6" s="36">
        <v>9633</v>
      </c>
      <c r="J6" s="37">
        <f t="shared" si="1"/>
        <v>2986230</v>
      </c>
      <c r="K6" s="36"/>
      <c r="L6" s="33"/>
      <c r="M6" s="32"/>
      <c r="N6" s="33"/>
      <c r="O6" s="35"/>
      <c r="P6" s="39">
        <f t="shared" si="2"/>
        <v>3141218.2</v>
      </c>
    </row>
    <row r="7" spans="2:16" x14ac:dyDescent="0.25">
      <c r="B7" s="30">
        <v>45387</v>
      </c>
      <c r="C7" s="32">
        <v>302218</v>
      </c>
      <c r="D7" s="37">
        <f t="shared" si="0"/>
        <v>619546.89999999991</v>
      </c>
      <c r="E7" s="36"/>
      <c r="F7" s="37"/>
      <c r="G7" s="36"/>
      <c r="H7" s="38"/>
      <c r="I7" s="36">
        <v>910</v>
      </c>
      <c r="J7" s="37">
        <f t="shared" si="1"/>
        <v>282100</v>
      </c>
      <c r="K7" s="36"/>
      <c r="L7" s="33"/>
      <c r="M7" s="32"/>
      <c r="N7" s="33"/>
      <c r="O7" s="35"/>
      <c r="P7" s="39">
        <f t="shared" si="2"/>
        <v>901646.89999999991</v>
      </c>
    </row>
    <row r="8" spans="2:16" x14ac:dyDescent="0.25">
      <c r="B8" s="30">
        <v>45388</v>
      </c>
      <c r="C8" s="32">
        <v>473607</v>
      </c>
      <c r="D8" s="37">
        <f t="shared" si="0"/>
        <v>970894.34999999986</v>
      </c>
      <c r="E8" s="36"/>
      <c r="F8" s="37"/>
      <c r="G8" s="36"/>
      <c r="H8" s="38"/>
      <c r="I8" s="36">
        <v>6704</v>
      </c>
      <c r="J8" s="37">
        <f t="shared" si="1"/>
        <v>2078240</v>
      </c>
      <c r="K8" s="36"/>
      <c r="L8" s="33"/>
      <c r="M8" s="32"/>
      <c r="N8" s="33"/>
      <c r="O8" s="35"/>
      <c r="P8" s="39">
        <f t="shared" si="2"/>
        <v>3049134.3499999996</v>
      </c>
    </row>
    <row r="9" spans="2:16" x14ac:dyDescent="0.25">
      <c r="B9" s="30">
        <v>45390</v>
      </c>
      <c r="C9" s="32">
        <v>674230</v>
      </c>
      <c r="D9" s="37">
        <f t="shared" si="0"/>
        <v>1382171.4999999998</v>
      </c>
      <c r="E9" s="36"/>
      <c r="F9" s="37"/>
      <c r="G9" s="36"/>
      <c r="H9" s="38"/>
      <c r="I9" s="36">
        <v>10135</v>
      </c>
      <c r="J9" s="37">
        <f t="shared" si="1"/>
        <v>3141850</v>
      </c>
      <c r="K9" s="36"/>
      <c r="L9" s="33"/>
      <c r="M9" s="32"/>
      <c r="N9" s="33"/>
      <c r="O9" s="35"/>
      <c r="P9" s="39">
        <f t="shared" si="2"/>
        <v>4524021.5</v>
      </c>
    </row>
    <row r="10" spans="2:16" x14ac:dyDescent="0.25">
      <c r="B10" s="30">
        <v>45391</v>
      </c>
      <c r="C10" s="32">
        <v>486685</v>
      </c>
      <c r="D10" s="37">
        <f t="shared" si="0"/>
        <v>997704.24999999988</v>
      </c>
      <c r="E10" s="36"/>
      <c r="F10" s="37"/>
      <c r="G10" s="36"/>
      <c r="H10" s="38"/>
      <c r="I10" s="36">
        <v>10766</v>
      </c>
      <c r="J10" s="37">
        <f t="shared" si="1"/>
        <v>3337460</v>
      </c>
      <c r="K10" s="36"/>
      <c r="L10" s="33"/>
      <c r="M10" s="32"/>
      <c r="N10" s="33"/>
      <c r="O10" s="35"/>
      <c r="P10" s="39">
        <f t="shared" si="2"/>
        <v>4335164.25</v>
      </c>
    </row>
    <row r="11" spans="2:16" x14ac:dyDescent="0.25">
      <c r="B11" s="30">
        <v>45392</v>
      </c>
      <c r="C11" s="32">
        <v>653322</v>
      </c>
      <c r="D11" s="37">
        <f t="shared" si="0"/>
        <v>1339310.0999999999</v>
      </c>
      <c r="E11" s="36"/>
      <c r="F11" s="37"/>
      <c r="G11" s="36"/>
      <c r="H11" s="38"/>
      <c r="I11" s="36">
        <v>5479</v>
      </c>
      <c r="J11" s="37">
        <f t="shared" si="1"/>
        <v>1698490</v>
      </c>
      <c r="K11" s="36"/>
      <c r="L11" s="33"/>
      <c r="M11" s="32"/>
      <c r="N11" s="33"/>
      <c r="O11" s="35"/>
      <c r="P11" s="39">
        <f t="shared" si="2"/>
        <v>3037800.0999999996</v>
      </c>
    </row>
    <row r="12" spans="2:16" x14ac:dyDescent="0.25">
      <c r="B12" s="30">
        <v>45393</v>
      </c>
      <c r="C12" s="32">
        <v>426560</v>
      </c>
      <c r="D12" s="37">
        <f t="shared" si="0"/>
        <v>874447.99999999988</v>
      </c>
      <c r="E12" s="36"/>
      <c r="F12" s="37"/>
      <c r="G12" s="36"/>
      <c r="H12" s="38"/>
      <c r="I12" s="36">
        <v>0</v>
      </c>
      <c r="J12" s="37"/>
      <c r="K12" s="36"/>
      <c r="L12" s="33"/>
      <c r="M12" s="32"/>
      <c r="N12" s="33"/>
      <c r="O12" s="35"/>
      <c r="P12" s="39">
        <f t="shared" si="2"/>
        <v>874447.99999999988</v>
      </c>
    </row>
    <row r="13" spans="2:16" x14ac:dyDescent="0.25">
      <c r="B13" s="30">
        <v>45394</v>
      </c>
      <c r="C13" s="32">
        <v>465520</v>
      </c>
      <c r="D13" s="37">
        <f t="shared" si="0"/>
        <v>954315.99999999988</v>
      </c>
      <c r="E13" s="36"/>
      <c r="F13" s="37"/>
      <c r="G13" s="36"/>
      <c r="H13" s="38"/>
      <c r="I13" s="36">
        <v>154</v>
      </c>
      <c r="J13" s="37">
        <f t="shared" ref="J13" si="3">+I13*310</f>
        <v>47740</v>
      </c>
      <c r="K13" s="36"/>
      <c r="L13" s="33"/>
      <c r="M13" s="32"/>
      <c r="N13" s="33"/>
      <c r="O13" s="35"/>
      <c r="P13" s="39">
        <f t="shared" ref="P13" si="4">+D13+F13+H13+J13</f>
        <v>1002055.9999999999</v>
      </c>
    </row>
    <row r="14" spans="2:16" x14ac:dyDescent="0.25">
      <c r="B14" s="30">
        <v>45395</v>
      </c>
      <c r="C14" s="32"/>
      <c r="D14" s="37"/>
      <c r="E14" s="36"/>
      <c r="F14" s="37"/>
      <c r="G14" s="36"/>
      <c r="H14" s="38"/>
      <c r="I14" s="36"/>
      <c r="J14" s="37"/>
      <c r="K14" s="36"/>
      <c r="L14" s="33"/>
      <c r="M14" s="32"/>
      <c r="N14" s="33"/>
      <c r="O14" s="35"/>
      <c r="P14" s="39"/>
    </row>
    <row r="15" spans="2:16" x14ac:dyDescent="0.25">
      <c r="B15" s="30">
        <v>45397</v>
      </c>
      <c r="C15" s="32"/>
      <c r="D15" s="37"/>
      <c r="E15" s="36"/>
      <c r="F15" s="37"/>
      <c r="G15" s="36"/>
      <c r="H15" s="38"/>
      <c r="I15" s="36"/>
      <c r="J15" s="37"/>
      <c r="K15" s="36"/>
      <c r="L15" s="33"/>
      <c r="M15" s="32"/>
      <c r="N15" s="33"/>
      <c r="O15" s="35"/>
      <c r="P15" s="39"/>
    </row>
    <row r="16" spans="2:16" x14ac:dyDescent="0.25">
      <c r="B16" s="30">
        <v>45398</v>
      </c>
      <c r="C16" s="32"/>
      <c r="D16" s="37"/>
      <c r="E16" s="36"/>
      <c r="F16" s="37"/>
      <c r="G16" s="36"/>
      <c r="H16" s="38"/>
      <c r="I16" s="36"/>
      <c r="J16" s="37"/>
      <c r="K16" s="36"/>
      <c r="L16" s="33"/>
      <c r="M16" s="32"/>
      <c r="N16" s="33"/>
      <c r="O16" s="35"/>
      <c r="P16" s="39"/>
    </row>
    <row r="17" spans="2:16" x14ac:dyDescent="0.25">
      <c r="B17" s="30">
        <v>45399</v>
      </c>
      <c r="C17" s="32"/>
      <c r="D17" s="37"/>
      <c r="E17" s="36"/>
      <c r="F17" s="37"/>
      <c r="G17" s="36"/>
      <c r="H17" s="38"/>
      <c r="I17" s="36"/>
      <c r="J17" s="37"/>
      <c r="K17" s="36"/>
      <c r="L17" s="33"/>
      <c r="M17" s="32"/>
      <c r="N17" s="33"/>
      <c r="O17" s="35"/>
      <c r="P17" s="39"/>
    </row>
    <row r="18" spans="2:16" x14ac:dyDescent="0.25">
      <c r="B18" s="30">
        <v>45400</v>
      </c>
      <c r="C18" s="32"/>
      <c r="D18" s="37"/>
      <c r="E18" s="36"/>
      <c r="F18" s="37"/>
      <c r="G18" s="36"/>
      <c r="H18" s="38"/>
      <c r="I18" s="36"/>
      <c r="J18" s="37"/>
      <c r="K18" s="36"/>
      <c r="L18" s="33"/>
      <c r="M18" s="32"/>
      <c r="N18" s="33"/>
      <c r="O18" s="35"/>
      <c r="P18" s="39"/>
    </row>
    <row r="19" spans="2:16" x14ac:dyDescent="0.25">
      <c r="B19" s="30">
        <v>45401</v>
      </c>
      <c r="C19" s="32"/>
      <c r="D19" s="37"/>
      <c r="E19" s="36"/>
      <c r="F19" s="37"/>
      <c r="G19" s="36"/>
      <c r="H19" s="38"/>
      <c r="I19" s="36"/>
      <c r="J19" s="37"/>
      <c r="K19" s="36"/>
      <c r="L19" s="33"/>
      <c r="M19" s="32"/>
      <c r="N19" s="33"/>
      <c r="O19" s="35"/>
      <c r="P19" s="39"/>
    </row>
    <row r="20" spans="2:16" x14ac:dyDescent="0.25">
      <c r="B20" s="30">
        <v>45402</v>
      </c>
      <c r="C20" s="32"/>
      <c r="D20" s="37"/>
      <c r="E20" s="36"/>
      <c r="F20" s="37"/>
      <c r="G20" s="36"/>
      <c r="H20" s="38"/>
      <c r="I20" s="36"/>
      <c r="J20" s="37"/>
      <c r="K20" s="36"/>
      <c r="L20" s="33"/>
      <c r="M20" s="32"/>
      <c r="N20" s="33"/>
      <c r="O20" s="35"/>
      <c r="P20" s="39"/>
    </row>
    <row r="21" spans="2:16" x14ac:dyDescent="0.25">
      <c r="B21" s="30">
        <v>45404</v>
      </c>
      <c r="C21" s="32"/>
      <c r="D21" s="37"/>
      <c r="E21" s="36"/>
      <c r="F21" s="37"/>
      <c r="G21" s="36"/>
      <c r="H21" s="38"/>
      <c r="I21" s="36"/>
      <c r="J21" s="37"/>
      <c r="K21" s="36"/>
      <c r="L21" s="33"/>
      <c r="M21" s="32"/>
      <c r="N21" s="33"/>
      <c r="O21" s="35"/>
      <c r="P21" s="39"/>
    </row>
    <row r="22" spans="2:16" x14ac:dyDescent="0.25">
      <c r="B22" s="30">
        <v>45405</v>
      </c>
      <c r="C22" s="32"/>
      <c r="D22" s="37"/>
      <c r="E22" s="36"/>
      <c r="F22" s="37"/>
      <c r="G22" s="36"/>
      <c r="H22" s="38"/>
      <c r="I22" s="36"/>
      <c r="J22" s="37"/>
      <c r="K22" s="36"/>
      <c r="L22" s="33"/>
      <c r="M22" s="32"/>
      <c r="N22" s="33"/>
      <c r="O22" s="35"/>
      <c r="P22" s="39"/>
    </row>
    <row r="23" spans="2:16" x14ac:dyDescent="0.25">
      <c r="B23" s="30">
        <v>45406</v>
      </c>
      <c r="C23" s="32"/>
      <c r="D23" s="37"/>
      <c r="E23" s="36"/>
      <c r="F23" s="37"/>
      <c r="G23" s="36"/>
      <c r="H23" s="38"/>
      <c r="I23" s="36"/>
      <c r="J23" s="37"/>
      <c r="K23" s="36"/>
      <c r="L23" s="33"/>
      <c r="M23" s="32"/>
      <c r="N23" s="33"/>
      <c r="O23" s="35"/>
      <c r="P23" s="39"/>
    </row>
    <row r="24" spans="2:16" x14ac:dyDescent="0.25">
      <c r="B24" s="30">
        <v>45407</v>
      </c>
      <c r="C24" s="32"/>
      <c r="D24" s="37"/>
      <c r="E24" s="36"/>
      <c r="F24" s="37"/>
      <c r="G24" s="36"/>
      <c r="H24" s="38"/>
      <c r="I24" s="36"/>
      <c r="J24" s="37"/>
      <c r="K24" s="36"/>
      <c r="L24" s="33"/>
      <c r="M24" s="32"/>
      <c r="N24" s="33"/>
      <c r="O24" s="35"/>
      <c r="P24" s="39"/>
    </row>
    <row r="25" spans="2:16" x14ac:dyDescent="0.25">
      <c r="B25" s="30">
        <v>45408</v>
      </c>
      <c r="C25" s="32"/>
      <c r="D25" s="37"/>
      <c r="E25" s="36"/>
      <c r="F25" s="37"/>
      <c r="G25" s="36"/>
      <c r="H25" s="38"/>
      <c r="I25" s="36"/>
      <c r="J25" s="37"/>
      <c r="K25" s="36"/>
      <c r="L25" s="33"/>
      <c r="M25" s="32"/>
      <c r="N25" s="33"/>
      <c r="O25" s="35"/>
      <c r="P25" s="39"/>
    </row>
    <row r="26" spans="2:16" x14ac:dyDescent="0.25">
      <c r="B26" s="30">
        <v>45409</v>
      </c>
      <c r="C26" s="32"/>
      <c r="D26" s="37"/>
      <c r="E26" s="36"/>
      <c r="F26" s="37"/>
      <c r="G26" s="36"/>
      <c r="H26" s="38"/>
      <c r="I26" s="36"/>
      <c r="J26" s="37"/>
      <c r="K26" s="36"/>
      <c r="L26" s="33"/>
      <c r="M26" s="32"/>
      <c r="N26" s="33"/>
      <c r="O26" s="35"/>
      <c r="P26" s="39"/>
    </row>
    <row r="27" spans="2:16" x14ac:dyDescent="0.25">
      <c r="B27" s="30">
        <v>45411</v>
      </c>
      <c r="C27" s="32"/>
      <c r="D27" s="37"/>
      <c r="E27" s="36"/>
      <c r="F27" s="37"/>
      <c r="G27" s="36"/>
      <c r="H27" s="38"/>
      <c r="I27" s="36"/>
      <c r="J27" s="37"/>
      <c r="K27" s="36"/>
      <c r="L27" s="33"/>
      <c r="M27" s="32"/>
      <c r="N27" s="33"/>
      <c r="O27" s="35"/>
      <c r="P27" s="39"/>
    </row>
    <row r="28" spans="2:16" x14ac:dyDescent="0.25">
      <c r="B28" s="30">
        <v>45412</v>
      </c>
      <c r="C28" s="40"/>
      <c r="D28" s="41"/>
      <c r="E28" s="42"/>
      <c r="F28" s="41"/>
      <c r="G28" s="42"/>
      <c r="H28" s="43"/>
      <c r="I28" s="42"/>
      <c r="J28" s="41"/>
      <c r="K28" s="42"/>
      <c r="L28" s="44"/>
      <c r="M28" s="40"/>
      <c r="N28" s="44"/>
      <c r="O28" s="45"/>
      <c r="P28" s="46"/>
    </row>
    <row r="29" spans="2:16" s="29" customFormat="1" ht="15" customHeight="1" thickBot="1" x14ac:dyDescent="0.3">
      <c r="B29" s="47" t="s">
        <v>47</v>
      </c>
      <c r="C29" s="34">
        <f t="shared" ref="C29:J29" si="5">SUM(C4:C28)</f>
        <v>3603169</v>
      </c>
      <c r="D29" s="31">
        <f t="shared" si="5"/>
        <v>7386496.4499999993</v>
      </c>
      <c r="E29" s="34">
        <f t="shared" si="5"/>
        <v>0</v>
      </c>
      <c r="F29" s="31">
        <f t="shared" si="5"/>
        <v>0</v>
      </c>
      <c r="G29" s="34">
        <f t="shared" si="5"/>
        <v>0</v>
      </c>
      <c r="H29" s="31">
        <f t="shared" si="5"/>
        <v>0</v>
      </c>
      <c r="I29" s="34">
        <f t="shared" si="5"/>
        <v>50852</v>
      </c>
      <c r="J29" s="48">
        <f t="shared" si="5"/>
        <v>15764120</v>
      </c>
      <c r="K29" s="34"/>
      <c r="L29" s="48">
        <f>SUM(L4:L28)</f>
        <v>0</v>
      </c>
      <c r="M29" s="34"/>
      <c r="N29" s="48">
        <f>SUM(N4:N28)</f>
        <v>0</v>
      </c>
      <c r="O29" s="49"/>
      <c r="P29" s="50">
        <f>SUM(P4:P28)</f>
        <v>23150616.450000003</v>
      </c>
    </row>
    <row r="30" spans="2:16" x14ac:dyDescent="0.25"/>
  </sheetData>
  <mergeCells count="8">
    <mergeCell ref="B2:B3"/>
    <mergeCell ref="O2:P2"/>
    <mergeCell ref="I2:J2"/>
    <mergeCell ref="G2:H2"/>
    <mergeCell ref="K2:L2"/>
    <mergeCell ref="C2:D2"/>
    <mergeCell ref="E2:F2"/>
    <mergeCell ref="M2:N2"/>
  </mergeCells>
  <conditionalFormatting sqref="B2 B30:B1048576">
    <cfRule type="cellIs" dxfId="567" priority="119" operator="equal">
      <formula>#REF!</formula>
    </cfRule>
  </conditionalFormatting>
  <conditionalFormatting sqref="G4:G28">
    <cfRule type="cellIs" dxfId="566" priority="107" operator="equal">
      <formula>0</formula>
    </cfRule>
    <cfRule type="colorScale" priority="116">
      <colorScale>
        <cfvo type="min"/>
        <cfvo type="max"/>
        <color rgb="FFFCFCFF"/>
        <color rgb="FF63BE7B"/>
      </colorScale>
    </cfRule>
  </conditionalFormatting>
  <conditionalFormatting sqref="E4:E28">
    <cfRule type="cellIs" dxfId="565" priority="105" operator="equal">
      <formula>0</formula>
    </cfRule>
    <cfRule type="colorScale" priority="106">
      <colorScale>
        <cfvo type="min"/>
        <cfvo type="max"/>
        <color rgb="FFFCFCFF"/>
        <color rgb="FF63BE7B"/>
      </colorScale>
    </cfRule>
  </conditionalFormatting>
  <conditionalFormatting sqref="C4:C28">
    <cfRule type="cellIs" dxfId="564" priority="103" operator="equal">
      <formula>0</formula>
    </cfRule>
  </conditionalFormatting>
  <conditionalFormatting sqref="K4:K28">
    <cfRule type="cellIs" dxfId="563" priority="101" operator="equal">
      <formula>0</formula>
    </cfRule>
    <cfRule type="colorScale" priority="102">
      <colorScale>
        <cfvo type="min"/>
        <cfvo type="max"/>
        <color rgb="FFFCFCFF"/>
        <color rgb="FF63BE7B"/>
      </colorScale>
    </cfRule>
  </conditionalFormatting>
  <conditionalFormatting sqref="M4:M28">
    <cfRule type="cellIs" dxfId="562" priority="99" operator="equal">
      <formula>0</formula>
    </cfRule>
    <cfRule type="colorScale" priority="100">
      <colorScale>
        <cfvo type="min"/>
        <cfvo type="max"/>
        <color rgb="FFFCFCFF"/>
        <color rgb="FF63BE7B"/>
      </colorScale>
    </cfRule>
  </conditionalFormatting>
  <conditionalFormatting sqref="I4:I28">
    <cfRule type="cellIs" dxfId="561" priority="30" operator="equal">
      <formula>0</formula>
    </cfRule>
  </conditionalFormatting>
  <conditionalFormatting sqref="F4:F2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:J2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:P28">
    <cfRule type="iconSet" priority="2">
      <iconSet iconSet="3Flags" reverse="1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15" id="{4D1F7698-96D8-496F-BAEA-1C7D86002176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H4:H28</xm:sqref>
        </x14:conditionalFormatting>
        <x14:conditionalFormatting xmlns:xm="http://schemas.microsoft.com/office/excel/2006/main">
          <x14:cfRule type="iconSet" priority="113" id="{FB24D6FA-5B83-474F-BF29-2C6E026474B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L4:L28</xm:sqref>
        </x14:conditionalFormatting>
        <x14:conditionalFormatting xmlns:xm="http://schemas.microsoft.com/office/excel/2006/main">
          <x14:cfRule type="iconSet" priority="111" id="{FFFB8146-028C-4951-A801-0B86EFA4250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N4:N28</xm:sqref>
        </x14:conditionalFormatting>
        <x14:conditionalFormatting xmlns:xm="http://schemas.microsoft.com/office/excel/2006/main">
          <x14:cfRule type="iconSet" priority="108" id="{44A02A31-1A72-4A08-980B-ABB1B394C9A1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F4:F28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4</vt:i4>
      </vt:variant>
    </vt:vector>
  </HeadingPairs>
  <TitlesOfParts>
    <vt:vector size="8" baseType="lpstr">
      <vt:lpstr>Data</vt:lpstr>
      <vt:lpstr>Dashboard</vt:lpstr>
      <vt:lpstr>Consolidado</vt:lpstr>
      <vt:lpstr>Costo Mensual</vt:lpstr>
      <vt:lpstr>MARCAS</vt:lpstr>
      <vt:lpstr>MARCAS_</vt:lpstr>
      <vt:lpstr>MARCAS_GMAC</vt:lpstr>
      <vt:lpstr>MULTICAMPAÑAS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Coordinador Operativo</dc:creator>
  <cp:lastModifiedBy>JU4N D4V1D</cp:lastModifiedBy>
  <dcterms:created xsi:type="dcterms:W3CDTF">2024-03-11T15:50:22Z</dcterms:created>
  <dcterms:modified xsi:type="dcterms:W3CDTF">2024-04-14T06:13:43Z</dcterms:modified>
</cp:coreProperties>
</file>