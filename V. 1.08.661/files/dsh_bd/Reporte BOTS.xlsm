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imelines/timeline2.xml" ContentType="application/vnd.ms-excel.timelin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_\OneDrive\Escritorio\"/>
    </mc:Choice>
  </mc:AlternateContent>
  <xr:revisionPtr revIDLastSave="0" documentId="13_ncr:1_{487AD3B1-966F-4B13-BDAC-2CBAB0E48D20}" xr6:coauthVersionLast="47" xr6:coauthVersionMax="47" xr10:uidLastSave="{00000000-0000-0000-0000-000000000000}"/>
  <bookViews>
    <workbookView xWindow="-120" yWindow="-120" windowWidth="38640" windowHeight="15720" firstSheet="1" activeTab="3" xr2:uid="{4A1918C6-C596-4B1D-85DC-AD61677B6357}"/>
  </bookViews>
  <sheets>
    <sheet name=" " sheetId="10" state="veryHidden" r:id="rId1"/>
    <sheet name="Data" sheetId="2" r:id="rId2"/>
    <sheet name="Dahsboard" sheetId="9" r:id="rId3"/>
    <sheet name="Consolidado" sheetId="11" r:id="rId4"/>
  </sheets>
  <definedNames>
    <definedName name="_xlchart.v1.0" hidden="1">' '!$AG$2:$AG$3</definedName>
    <definedName name="_xlchart.v1.1" hidden="1">' '!$AH$2:$AH$3</definedName>
    <definedName name="_xlchart.v1.2" hidden="1">' '!$AG$2:$AG$3</definedName>
    <definedName name="_xlchart.v1.3" hidden="1">' '!$AH$2:$AH$3</definedName>
    <definedName name="_xlchart.v1.4" hidden="1">' '!$BK$25:$BK$48</definedName>
    <definedName name="_xlchart.v1.5" hidden="1">' '!$BL$25:$BL$48</definedName>
    <definedName name="MARCAS">#REF!</definedName>
    <definedName name="MARCAS_">#REF!</definedName>
    <definedName name="MARCAS_GMAC">#REF!</definedName>
    <definedName name="MULTICAMPAÑAS">#REF!</definedName>
    <definedName name="NativeTimeline_FECHA">#N/A</definedName>
    <definedName name="NativeTimeline_FECHA1">#N/A</definedName>
  </definedNames>
  <calcPr calcId="191029"/>
  <pivotCaches>
    <pivotCache cacheId="1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4" i="10" l="1"/>
  <c r="BR3" i="10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" i="2"/>
  <c r="BL28" i="10"/>
  <c r="BL36" i="10"/>
  <c r="BL40" i="10"/>
  <c r="BL41" i="10"/>
  <c r="BL42" i="10"/>
  <c r="BL43" i="10"/>
  <c r="BL44" i="10"/>
  <c r="BL45" i="10"/>
  <c r="BL46" i="10"/>
  <c r="BL47" i="10"/>
  <c r="BL27" i="10"/>
  <c r="BL26" i="10"/>
  <c r="BL29" i="10"/>
  <c r="BL30" i="10"/>
  <c r="BL31" i="10"/>
  <c r="BL32" i="10"/>
  <c r="BL33" i="10"/>
  <c r="BL34" i="10"/>
  <c r="BL35" i="10"/>
  <c r="BL37" i="10"/>
  <c r="BL38" i="10"/>
  <c r="BL39" i="10"/>
  <c r="BL48" i="10"/>
  <c r="BL25" i="10"/>
  <c r="BC1" i="10"/>
  <c r="BC2" i="10" s="1"/>
  <c r="AZ1" i="10"/>
  <c r="AZ2" i="10" s="1"/>
  <c r="AJ3" i="10"/>
  <c r="AJ2" i="10"/>
  <c r="AI3" i="10"/>
  <c r="AW3" i="10" s="1"/>
  <c r="AI2" i="10"/>
  <c r="AW9" i="10" s="1"/>
  <c r="AR11" i="10"/>
  <c r="AR5" i="10"/>
  <c r="AH3" i="10"/>
  <c r="AH2" i="10"/>
  <c r="BS3" i="10" l="1"/>
  <c r="BS4" i="10"/>
  <c r="AW10" i="10"/>
  <c r="AT9" i="10" s="1"/>
  <c r="AW4" i="10"/>
  <c r="AT3" i="10" s="1"/>
  <c r="AO3" i="10" l="1"/>
  <c r="AQ3" i="10" s="1"/>
  <c r="AO9" i="10"/>
  <c r="AQ9" i="10" s="1"/>
  <c r="AD1" i="10" l="1"/>
  <c r="AD3" i="10" s="1"/>
  <c r="AD5" i="10"/>
  <c r="AD4" i="10" s="1"/>
  <c r="G225" i="2"/>
  <c r="G226" i="2"/>
  <c r="G227" i="2"/>
  <c r="I227" i="2" s="1"/>
  <c r="H227" i="2" s="1"/>
  <c r="G228" i="2"/>
  <c r="I228" i="2" s="1"/>
  <c r="H228" i="2" s="1"/>
  <c r="G229" i="2"/>
  <c r="I229" i="2" s="1"/>
  <c r="H229" i="2" s="1"/>
  <c r="G230" i="2"/>
  <c r="I230" i="2" s="1"/>
  <c r="H230" i="2" s="1"/>
  <c r="G231" i="2"/>
  <c r="I231" i="2" s="1"/>
  <c r="H231" i="2" s="1"/>
  <c r="G232" i="2"/>
  <c r="I232" i="2" s="1"/>
  <c r="H232" i="2" s="1"/>
  <c r="G233" i="2"/>
  <c r="I233" i="2" s="1"/>
  <c r="H233" i="2" s="1"/>
  <c r="G234" i="2"/>
  <c r="I234" i="2" s="1"/>
  <c r="H234" i="2" s="1"/>
  <c r="G235" i="2"/>
  <c r="I235" i="2" s="1"/>
  <c r="H235" i="2" s="1"/>
  <c r="G236" i="2"/>
  <c r="I236" i="2" s="1"/>
  <c r="H236" i="2" s="1"/>
  <c r="I225" i="2"/>
  <c r="H225" i="2" s="1"/>
  <c r="I226" i="2"/>
  <c r="H226" i="2" s="1"/>
  <c r="G213" i="2"/>
  <c r="I213" i="2" s="1"/>
  <c r="H213" i="2" s="1"/>
  <c r="G214" i="2"/>
  <c r="I214" i="2" s="1"/>
  <c r="H214" i="2" s="1"/>
  <c r="G215" i="2"/>
  <c r="I215" i="2" s="1"/>
  <c r="H215" i="2" s="1"/>
  <c r="G216" i="2"/>
  <c r="I216" i="2" s="1"/>
  <c r="H216" i="2" s="1"/>
  <c r="G217" i="2"/>
  <c r="I217" i="2" s="1"/>
  <c r="H217" i="2" s="1"/>
  <c r="G218" i="2"/>
  <c r="I218" i="2" s="1"/>
  <c r="H218" i="2" s="1"/>
  <c r="G219" i="2"/>
  <c r="I219" i="2" s="1"/>
  <c r="H219" i="2" s="1"/>
  <c r="G220" i="2"/>
  <c r="I220" i="2" s="1"/>
  <c r="H220" i="2" s="1"/>
  <c r="G221" i="2"/>
  <c r="I221" i="2" s="1"/>
  <c r="H221" i="2" s="1"/>
  <c r="G222" i="2"/>
  <c r="I222" i="2" s="1"/>
  <c r="H222" i="2" s="1"/>
  <c r="G223" i="2"/>
  <c r="I223" i="2" s="1"/>
  <c r="H223" i="2" s="1"/>
  <c r="G224" i="2"/>
  <c r="I224" i="2" s="1"/>
  <c r="H224" i="2" s="1"/>
  <c r="G202" i="2"/>
  <c r="I202" i="2" s="1"/>
  <c r="H202" i="2" s="1"/>
  <c r="G203" i="2"/>
  <c r="I203" i="2" s="1"/>
  <c r="H203" i="2" s="1"/>
  <c r="G204" i="2"/>
  <c r="I204" i="2" s="1"/>
  <c r="H204" i="2" s="1"/>
  <c r="G205" i="2"/>
  <c r="I205" i="2" s="1"/>
  <c r="H205" i="2" s="1"/>
  <c r="G206" i="2"/>
  <c r="I206" i="2" s="1"/>
  <c r="H206" i="2" s="1"/>
  <c r="G207" i="2"/>
  <c r="I207" i="2" s="1"/>
  <c r="H207" i="2" s="1"/>
  <c r="G208" i="2"/>
  <c r="I208" i="2" s="1"/>
  <c r="H208" i="2" s="1"/>
  <c r="G209" i="2"/>
  <c r="I209" i="2" s="1"/>
  <c r="H209" i="2" s="1"/>
  <c r="G210" i="2"/>
  <c r="I210" i="2" s="1"/>
  <c r="H210" i="2" s="1"/>
  <c r="G211" i="2"/>
  <c r="I211" i="2" s="1"/>
  <c r="H211" i="2" s="1"/>
  <c r="G212" i="2"/>
  <c r="I212" i="2" s="1"/>
  <c r="H212" i="2" s="1"/>
  <c r="G190" i="2"/>
  <c r="I190" i="2" s="1"/>
  <c r="H190" i="2" s="1"/>
  <c r="G191" i="2"/>
  <c r="I191" i="2" s="1"/>
  <c r="H191" i="2" s="1"/>
  <c r="G192" i="2"/>
  <c r="I192" i="2" s="1"/>
  <c r="H192" i="2" s="1"/>
  <c r="G193" i="2"/>
  <c r="I193" i="2" s="1"/>
  <c r="H193" i="2" s="1"/>
  <c r="G194" i="2"/>
  <c r="I194" i="2" s="1"/>
  <c r="H194" i="2" s="1"/>
  <c r="G195" i="2"/>
  <c r="I195" i="2" s="1"/>
  <c r="H195" i="2" s="1"/>
  <c r="G196" i="2"/>
  <c r="I196" i="2" s="1"/>
  <c r="H196" i="2" s="1"/>
  <c r="G197" i="2"/>
  <c r="I197" i="2" s="1"/>
  <c r="H197" i="2" s="1"/>
  <c r="G198" i="2"/>
  <c r="I198" i="2" s="1"/>
  <c r="H198" i="2" s="1"/>
  <c r="G199" i="2"/>
  <c r="I199" i="2" s="1"/>
  <c r="H199" i="2" s="1"/>
  <c r="G200" i="2"/>
  <c r="I200" i="2" s="1"/>
  <c r="H200" i="2" s="1"/>
  <c r="G201" i="2"/>
  <c r="I201" i="2" s="1"/>
  <c r="H201" i="2" s="1"/>
  <c r="G178" i="2"/>
  <c r="I178" i="2" s="1"/>
  <c r="H178" i="2" s="1"/>
  <c r="G179" i="2"/>
  <c r="I179" i="2" s="1"/>
  <c r="H179" i="2" s="1"/>
  <c r="G180" i="2"/>
  <c r="I180" i="2" s="1"/>
  <c r="H180" i="2" s="1"/>
  <c r="G181" i="2"/>
  <c r="I181" i="2" s="1"/>
  <c r="H181" i="2" s="1"/>
  <c r="G182" i="2"/>
  <c r="I182" i="2" s="1"/>
  <c r="H182" i="2" s="1"/>
  <c r="G183" i="2"/>
  <c r="I183" i="2" s="1"/>
  <c r="H183" i="2" s="1"/>
  <c r="G184" i="2"/>
  <c r="I184" i="2" s="1"/>
  <c r="H184" i="2" s="1"/>
  <c r="G185" i="2"/>
  <c r="I185" i="2" s="1"/>
  <c r="H185" i="2" s="1"/>
  <c r="G186" i="2"/>
  <c r="I186" i="2" s="1"/>
  <c r="H186" i="2" s="1"/>
  <c r="G187" i="2"/>
  <c r="I187" i="2" s="1"/>
  <c r="H187" i="2" s="1"/>
  <c r="G188" i="2"/>
  <c r="I188" i="2" s="1"/>
  <c r="H188" i="2" s="1"/>
  <c r="G189" i="2"/>
  <c r="I189" i="2" s="1"/>
  <c r="H189" i="2" s="1"/>
  <c r="G166" i="2"/>
  <c r="I166" i="2" s="1"/>
  <c r="H166" i="2" s="1"/>
  <c r="G167" i="2"/>
  <c r="I167" i="2" s="1"/>
  <c r="H167" i="2" s="1"/>
  <c r="G168" i="2"/>
  <c r="I168" i="2" s="1"/>
  <c r="H168" i="2" s="1"/>
  <c r="G169" i="2"/>
  <c r="I169" i="2" s="1"/>
  <c r="H169" i="2" s="1"/>
  <c r="G170" i="2"/>
  <c r="I170" i="2" s="1"/>
  <c r="H170" i="2" s="1"/>
  <c r="G171" i="2"/>
  <c r="I171" i="2" s="1"/>
  <c r="H171" i="2" s="1"/>
  <c r="G172" i="2"/>
  <c r="I172" i="2" s="1"/>
  <c r="H172" i="2" s="1"/>
  <c r="G173" i="2"/>
  <c r="I173" i="2" s="1"/>
  <c r="H173" i="2" s="1"/>
  <c r="G174" i="2"/>
  <c r="I174" i="2" s="1"/>
  <c r="H174" i="2" s="1"/>
  <c r="G175" i="2"/>
  <c r="I175" i="2" s="1"/>
  <c r="H175" i="2" s="1"/>
  <c r="G176" i="2"/>
  <c r="I176" i="2" s="1"/>
  <c r="H176" i="2" s="1"/>
  <c r="G177" i="2"/>
  <c r="I177" i="2" s="1"/>
  <c r="H177" i="2" s="1"/>
  <c r="G154" i="2"/>
  <c r="I154" i="2" s="1"/>
  <c r="H154" i="2" s="1"/>
  <c r="G155" i="2"/>
  <c r="I155" i="2" s="1"/>
  <c r="H155" i="2" s="1"/>
  <c r="G156" i="2"/>
  <c r="I156" i="2" s="1"/>
  <c r="H156" i="2" s="1"/>
  <c r="G157" i="2"/>
  <c r="I157" i="2" s="1"/>
  <c r="H157" i="2" s="1"/>
  <c r="G158" i="2"/>
  <c r="I158" i="2" s="1"/>
  <c r="H158" i="2" s="1"/>
  <c r="G159" i="2"/>
  <c r="I159" i="2" s="1"/>
  <c r="H159" i="2" s="1"/>
  <c r="G160" i="2"/>
  <c r="I160" i="2" s="1"/>
  <c r="H160" i="2" s="1"/>
  <c r="G161" i="2"/>
  <c r="I161" i="2" s="1"/>
  <c r="H161" i="2" s="1"/>
  <c r="G162" i="2"/>
  <c r="I162" i="2" s="1"/>
  <c r="H162" i="2" s="1"/>
  <c r="G163" i="2"/>
  <c r="I163" i="2" s="1"/>
  <c r="H163" i="2" s="1"/>
  <c r="G164" i="2"/>
  <c r="I164" i="2" s="1"/>
  <c r="H164" i="2" s="1"/>
  <c r="G165" i="2"/>
  <c r="I165" i="2" s="1"/>
  <c r="H165" i="2" s="1"/>
  <c r="G143" i="2"/>
  <c r="I143" i="2" s="1"/>
  <c r="H143" i="2" s="1"/>
  <c r="G144" i="2"/>
  <c r="I144" i="2" s="1"/>
  <c r="H144" i="2" s="1"/>
  <c r="G145" i="2"/>
  <c r="I145" i="2" s="1"/>
  <c r="H145" i="2" s="1"/>
  <c r="G146" i="2"/>
  <c r="I146" i="2" s="1"/>
  <c r="H146" i="2" s="1"/>
  <c r="G147" i="2"/>
  <c r="I147" i="2" s="1"/>
  <c r="H147" i="2" s="1"/>
  <c r="G148" i="2"/>
  <c r="I148" i="2" s="1"/>
  <c r="H148" i="2" s="1"/>
  <c r="G149" i="2"/>
  <c r="I149" i="2" s="1"/>
  <c r="H149" i="2" s="1"/>
  <c r="G150" i="2"/>
  <c r="I150" i="2" s="1"/>
  <c r="H150" i="2" s="1"/>
  <c r="G151" i="2"/>
  <c r="I151" i="2" s="1"/>
  <c r="H151" i="2" s="1"/>
  <c r="G152" i="2"/>
  <c r="I152" i="2" s="1"/>
  <c r="H152" i="2" s="1"/>
  <c r="G153" i="2"/>
  <c r="I153" i="2" s="1"/>
  <c r="H153" i="2" s="1"/>
  <c r="G132" i="2"/>
  <c r="I132" i="2" s="1"/>
  <c r="H132" i="2" s="1"/>
  <c r="G133" i="2"/>
  <c r="I133" i="2" s="1"/>
  <c r="H133" i="2" s="1"/>
  <c r="G134" i="2"/>
  <c r="I134" i="2" s="1"/>
  <c r="H134" i="2" s="1"/>
  <c r="G135" i="2"/>
  <c r="I135" i="2" s="1"/>
  <c r="H135" i="2" s="1"/>
  <c r="G136" i="2"/>
  <c r="I136" i="2" s="1"/>
  <c r="H136" i="2" s="1"/>
  <c r="G137" i="2"/>
  <c r="I137" i="2" s="1"/>
  <c r="H137" i="2" s="1"/>
  <c r="G138" i="2"/>
  <c r="I138" i="2" s="1"/>
  <c r="H138" i="2" s="1"/>
  <c r="G139" i="2"/>
  <c r="I139" i="2" s="1"/>
  <c r="H139" i="2" s="1"/>
  <c r="G140" i="2"/>
  <c r="I140" i="2" s="1"/>
  <c r="H140" i="2" s="1"/>
  <c r="G141" i="2"/>
  <c r="I141" i="2" s="1"/>
  <c r="H141" i="2" s="1"/>
  <c r="G142" i="2"/>
  <c r="I142" i="2" s="1"/>
  <c r="H142" i="2" s="1"/>
  <c r="G121" i="2"/>
  <c r="I121" i="2" s="1"/>
  <c r="H121" i="2" s="1"/>
  <c r="G122" i="2"/>
  <c r="I122" i="2" s="1"/>
  <c r="H122" i="2" s="1"/>
  <c r="G123" i="2"/>
  <c r="I123" i="2" s="1"/>
  <c r="H123" i="2" s="1"/>
  <c r="G124" i="2"/>
  <c r="I124" i="2" s="1"/>
  <c r="H124" i="2" s="1"/>
  <c r="G125" i="2"/>
  <c r="I125" i="2" s="1"/>
  <c r="H125" i="2" s="1"/>
  <c r="G126" i="2"/>
  <c r="I126" i="2" s="1"/>
  <c r="H126" i="2" s="1"/>
  <c r="G127" i="2"/>
  <c r="I127" i="2" s="1"/>
  <c r="H127" i="2" s="1"/>
  <c r="G128" i="2"/>
  <c r="I128" i="2" s="1"/>
  <c r="H128" i="2" s="1"/>
  <c r="G129" i="2"/>
  <c r="I129" i="2" s="1"/>
  <c r="H129" i="2" s="1"/>
  <c r="G130" i="2"/>
  <c r="I130" i="2" s="1"/>
  <c r="H130" i="2" s="1"/>
  <c r="G131" i="2"/>
  <c r="I131" i="2" s="1"/>
  <c r="H131" i="2" s="1"/>
  <c r="G110" i="2"/>
  <c r="I110" i="2" s="1"/>
  <c r="H110" i="2" s="1"/>
  <c r="G111" i="2"/>
  <c r="I111" i="2" s="1"/>
  <c r="H111" i="2" s="1"/>
  <c r="G112" i="2"/>
  <c r="I112" i="2" s="1"/>
  <c r="H112" i="2" s="1"/>
  <c r="G113" i="2"/>
  <c r="I113" i="2" s="1"/>
  <c r="H113" i="2" s="1"/>
  <c r="G114" i="2"/>
  <c r="I114" i="2" s="1"/>
  <c r="H114" i="2" s="1"/>
  <c r="G115" i="2"/>
  <c r="I115" i="2" s="1"/>
  <c r="H115" i="2" s="1"/>
  <c r="G116" i="2"/>
  <c r="I116" i="2" s="1"/>
  <c r="H116" i="2" s="1"/>
  <c r="G117" i="2"/>
  <c r="I117" i="2" s="1"/>
  <c r="H117" i="2" s="1"/>
  <c r="G118" i="2"/>
  <c r="I118" i="2" s="1"/>
  <c r="H118" i="2" s="1"/>
  <c r="G119" i="2"/>
  <c r="I119" i="2" s="1"/>
  <c r="H119" i="2" s="1"/>
  <c r="G120" i="2"/>
  <c r="I120" i="2" s="1"/>
  <c r="H120" i="2" s="1"/>
  <c r="G99" i="2"/>
  <c r="I99" i="2" s="1"/>
  <c r="H99" i="2" s="1"/>
  <c r="G100" i="2"/>
  <c r="I100" i="2" s="1"/>
  <c r="H100" i="2" s="1"/>
  <c r="G101" i="2"/>
  <c r="I101" i="2" s="1"/>
  <c r="H101" i="2" s="1"/>
  <c r="G102" i="2"/>
  <c r="I102" i="2" s="1"/>
  <c r="H102" i="2" s="1"/>
  <c r="G103" i="2"/>
  <c r="I103" i="2" s="1"/>
  <c r="H103" i="2" s="1"/>
  <c r="G104" i="2"/>
  <c r="I104" i="2" s="1"/>
  <c r="H104" i="2" s="1"/>
  <c r="G105" i="2"/>
  <c r="I105" i="2" s="1"/>
  <c r="H105" i="2" s="1"/>
  <c r="G106" i="2"/>
  <c r="I106" i="2" s="1"/>
  <c r="H106" i="2" s="1"/>
  <c r="G107" i="2"/>
  <c r="I107" i="2" s="1"/>
  <c r="H107" i="2" s="1"/>
  <c r="G108" i="2"/>
  <c r="I108" i="2" s="1"/>
  <c r="H108" i="2" s="1"/>
  <c r="G109" i="2"/>
  <c r="I109" i="2" s="1"/>
  <c r="H109" i="2" s="1"/>
  <c r="G88" i="2"/>
  <c r="I88" i="2" s="1"/>
  <c r="H88" i="2" s="1"/>
  <c r="G89" i="2"/>
  <c r="I89" i="2" s="1"/>
  <c r="H89" i="2" s="1"/>
  <c r="G90" i="2"/>
  <c r="I90" i="2" s="1"/>
  <c r="H90" i="2" s="1"/>
  <c r="G91" i="2"/>
  <c r="I91" i="2" s="1"/>
  <c r="H91" i="2" s="1"/>
  <c r="G92" i="2"/>
  <c r="I92" i="2" s="1"/>
  <c r="H92" i="2" s="1"/>
  <c r="G93" i="2"/>
  <c r="I93" i="2" s="1"/>
  <c r="H93" i="2" s="1"/>
  <c r="G94" i="2"/>
  <c r="I94" i="2" s="1"/>
  <c r="H94" i="2" s="1"/>
  <c r="G95" i="2"/>
  <c r="I95" i="2" s="1"/>
  <c r="H95" i="2" s="1"/>
  <c r="G96" i="2"/>
  <c r="I96" i="2" s="1"/>
  <c r="H96" i="2" s="1"/>
  <c r="G97" i="2"/>
  <c r="I97" i="2" s="1"/>
  <c r="H97" i="2" s="1"/>
  <c r="G98" i="2"/>
  <c r="I98" i="2" s="1"/>
  <c r="H98" i="2" s="1"/>
  <c r="G77" i="2"/>
  <c r="I77" i="2" s="1"/>
  <c r="H77" i="2" s="1"/>
  <c r="G78" i="2"/>
  <c r="I78" i="2" s="1"/>
  <c r="H78" i="2" s="1"/>
  <c r="G79" i="2"/>
  <c r="I79" i="2" s="1"/>
  <c r="H79" i="2" s="1"/>
  <c r="G80" i="2"/>
  <c r="I80" i="2" s="1"/>
  <c r="H80" i="2" s="1"/>
  <c r="G81" i="2"/>
  <c r="I81" i="2" s="1"/>
  <c r="H81" i="2" s="1"/>
  <c r="G82" i="2"/>
  <c r="I82" i="2" s="1"/>
  <c r="H82" i="2" s="1"/>
  <c r="G83" i="2"/>
  <c r="I83" i="2" s="1"/>
  <c r="H83" i="2" s="1"/>
  <c r="G84" i="2"/>
  <c r="I84" i="2" s="1"/>
  <c r="H84" i="2" s="1"/>
  <c r="G85" i="2"/>
  <c r="I85" i="2" s="1"/>
  <c r="H85" i="2" s="1"/>
  <c r="G86" i="2"/>
  <c r="I86" i="2" s="1"/>
  <c r="H86" i="2" s="1"/>
  <c r="G87" i="2"/>
  <c r="I87" i="2" s="1"/>
  <c r="H87" i="2" s="1"/>
  <c r="G66" i="2"/>
  <c r="I66" i="2" s="1"/>
  <c r="H66" i="2" s="1"/>
  <c r="G67" i="2"/>
  <c r="I67" i="2" s="1"/>
  <c r="H67" i="2" s="1"/>
  <c r="G68" i="2"/>
  <c r="I68" i="2" s="1"/>
  <c r="H68" i="2" s="1"/>
  <c r="G69" i="2"/>
  <c r="I69" i="2" s="1"/>
  <c r="H69" i="2" s="1"/>
  <c r="G70" i="2"/>
  <c r="I70" i="2" s="1"/>
  <c r="H70" i="2" s="1"/>
  <c r="G71" i="2"/>
  <c r="I71" i="2" s="1"/>
  <c r="H71" i="2" s="1"/>
  <c r="G72" i="2"/>
  <c r="I72" i="2" s="1"/>
  <c r="H72" i="2" s="1"/>
  <c r="G73" i="2"/>
  <c r="I73" i="2" s="1"/>
  <c r="H73" i="2" s="1"/>
  <c r="G74" i="2"/>
  <c r="I74" i="2" s="1"/>
  <c r="H74" i="2" s="1"/>
  <c r="G75" i="2"/>
  <c r="I75" i="2" s="1"/>
  <c r="H75" i="2" s="1"/>
  <c r="G76" i="2"/>
  <c r="I76" i="2" s="1"/>
  <c r="H76" i="2" s="1"/>
  <c r="G55" i="2"/>
  <c r="I55" i="2" s="1"/>
  <c r="H55" i="2" s="1"/>
  <c r="G56" i="2"/>
  <c r="I56" i="2" s="1"/>
  <c r="H56" i="2" s="1"/>
  <c r="G57" i="2"/>
  <c r="I57" i="2" s="1"/>
  <c r="H57" i="2" s="1"/>
  <c r="G58" i="2"/>
  <c r="I58" i="2" s="1"/>
  <c r="H58" i="2" s="1"/>
  <c r="G59" i="2"/>
  <c r="I59" i="2" s="1"/>
  <c r="H59" i="2" s="1"/>
  <c r="G60" i="2"/>
  <c r="I60" i="2" s="1"/>
  <c r="H60" i="2" s="1"/>
  <c r="G61" i="2"/>
  <c r="I61" i="2" s="1"/>
  <c r="H61" i="2" s="1"/>
  <c r="G62" i="2"/>
  <c r="I62" i="2" s="1"/>
  <c r="H62" i="2" s="1"/>
  <c r="G63" i="2"/>
  <c r="I63" i="2" s="1"/>
  <c r="H63" i="2" s="1"/>
  <c r="G64" i="2"/>
  <c r="I64" i="2" s="1"/>
  <c r="H64" i="2" s="1"/>
  <c r="G65" i="2"/>
  <c r="I65" i="2" s="1"/>
  <c r="H65" i="2" s="1"/>
  <c r="G44" i="2"/>
  <c r="I44" i="2" s="1"/>
  <c r="H44" i="2" s="1"/>
  <c r="G45" i="2"/>
  <c r="I45" i="2" s="1"/>
  <c r="H45" i="2" s="1"/>
  <c r="G46" i="2"/>
  <c r="I46" i="2" s="1"/>
  <c r="H46" i="2" s="1"/>
  <c r="G47" i="2"/>
  <c r="I47" i="2" s="1"/>
  <c r="H47" i="2" s="1"/>
  <c r="G48" i="2"/>
  <c r="I48" i="2" s="1"/>
  <c r="H48" i="2" s="1"/>
  <c r="G49" i="2"/>
  <c r="I49" i="2" s="1"/>
  <c r="H49" i="2" s="1"/>
  <c r="G50" i="2"/>
  <c r="I50" i="2" s="1"/>
  <c r="H50" i="2" s="1"/>
  <c r="G51" i="2"/>
  <c r="I51" i="2" s="1"/>
  <c r="H51" i="2" s="1"/>
  <c r="G52" i="2"/>
  <c r="I52" i="2" s="1"/>
  <c r="H52" i="2" s="1"/>
  <c r="G53" i="2"/>
  <c r="I53" i="2" s="1"/>
  <c r="H53" i="2" s="1"/>
  <c r="G54" i="2"/>
  <c r="I54" i="2" s="1"/>
  <c r="H54" i="2" s="1"/>
  <c r="G34" i="2"/>
  <c r="I34" i="2" s="1"/>
  <c r="H34" i="2" s="1"/>
  <c r="G35" i="2"/>
  <c r="I35" i="2" s="1"/>
  <c r="H35" i="2" s="1"/>
  <c r="G36" i="2"/>
  <c r="I36" i="2" s="1"/>
  <c r="H36" i="2" s="1"/>
  <c r="G37" i="2"/>
  <c r="I37" i="2" s="1"/>
  <c r="H37" i="2" s="1"/>
  <c r="G38" i="2"/>
  <c r="I38" i="2" s="1"/>
  <c r="H38" i="2" s="1"/>
  <c r="G39" i="2"/>
  <c r="I39" i="2" s="1"/>
  <c r="H39" i="2" s="1"/>
  <c r="G40" i="2"/>
  <c r="I40" i="2" s="1"/>
  <c r="H40" i="2" s="1"/>
  <c r="G41" i="2"/>
  <c r="I41" i="2" s="1"/>
  <c r="H41" i="2" s="1"/>
  <c r="G42" i="2"/>
  <c r="I42" i="2" s="1"/>
  <c r="H42" i="2" s="1"/>
  <c r="G43" i="2"/>
  <c r="I43" i="2" s="1"/>
  <c r="H43" i="2" s="1"/>
  <c r="G24" i="2"/>
  <c r="I24" i="2" s="1"/>
  <c r="H24" i="2" s="1"/>
  <c r="G25" i="2"/>
  <c r="I25" i="2" s="1"/>
  <c r="H25" i="2" s="1"/>
  <c r="G26" i="2"/>
  <c r="I26" i="2" s="1"/>
  <c r="H26" i="2" s="1"/>
  <c r="G27" i="2"/>
  <c r="I27" i="2" s="1"/>
  <c r="H27" i="2" s="1"/>
  <c r="G28" i="2"/>
  <c r="I28" i="2" s="1"/>
  <c r="H28" i="2" s="1"/>
  <c r="G29" i="2"/>
  <c r="I29" i="2" s="1"/>
  <c r="H29" i="2" s="1"/>
  <c r="G30" i="2"/>
  <c r="I30" i="2" s="1"/>
  <c r="H30" i="2" s="1"/>
  <c r="G31" i="2"/>
  <c r="I31" i="2" s="1"/>
  <c r="H31" i="2" s="1"/>
  <c r="G32" i="2"/>
  <c r="I32" i="2" s="1"/>
  <c r="H32" i="2" s="1"/>
  <c r="G33" i="2"/>
  <c r="I33" i="2" s="1"/>
  <c r="H33" i="2" s="1"/>
  <c r="G13" i="2"/>
  <c r="I13" i="2" s="1"/>
  <c r="H13" i="2" s="1"/>
  <c r="G14" i="2"/>
  <c r="I14" i="2" s="1"/>
  <c r="H14" i="2" s="1"/>
  <c r="G15" i="2"/>
  <c r="I15" i="2" s="1"/>
  <c r="H15" i="2" s="1"/>
  <c r="G16" i="2"/>
  <c r="I16" i="2" s="1"/>
  <c r="H16" i="2" s="1"/>
  <c r="G17" i="2"/>
  <c r="I17" i="2" s="1"/>
  <c r="H17" i="2" s="1"/>
  <c r="G18" i="2"/>
  <c r="I18" i="2" s="1"/>
  <c r="H18" i="2" s="1"/>
  <c r="G19" i="2"/>
  <c r="I19" i="2" s="1"/>
  <c r="H19" i="2" s="1"/>
  <c r="G20" i="2"/>
  <c r="I20" i="2" s="1"/>
  <c r="H20" i="2" s="1"/>
  <c r="G21" i="2"/>
  <c r="I21" i="2" s="1"/>
  <c r="H21" i="2" s="1"/>
  <c r="G22" i="2"/>
  <c r="I22" i="2" s="1"/>
  <c r="H22" i="2" s="1"/>
  <c r="G23" i="2"/>
  <c r="I23" i="2" s="1"/>
  <c r="H23" i="2" s="1"/>
  <c r="G3" i="2"/>
  <c r="I3" i="2" s="1"/>
  <c r="H3" i="2" s="1"/>
  <c r="G4" i="2"/>
  <c r="I4" i="2" s="1"/>
  <c r="H4" i="2" s="1"/>
  <c r="G5" i="2"/>
  <c r="I5" i="2" s="1"/>
  <c r="H5" i="2" s="1"/>
  <c r="G6" i="2"/>
  <c r="I6" i="2" s="1"/>
  <c r="H6" i="2" s="1"/>
  <c r="G7" i="2"/>
  <c r="I7" i="2" s="1"/>
  <c r="H7" i="2" s="1"/>
  <c r="G8" i="2"/>
  <c r="I8" i="2" s="1"/>
  <c r="H8" i="2" s="1"/>
  <c r="G9" i="2"/>
  <c r="I9" i="2" s="1"/>
  <c r="H9" i="2" s="1"/>
  <c r="G10" i="2"/>
  <c r="I10" i="2" s="1"/>
  <c r="H10" i="2" s="1"/>
  <c r="G11" i="2"/>
  <c r="I11" i="2" s="1"/>
  <c r="H11" i="2" s="1"/>
  <c r="G12" i="2"/>
  <c r="I12" i="2" s="1"/>
  <c r="H12" i="2" s="1"/>
  <c r="AE5" i="10"/>
  <c r="AE4" i="10" s="1"/>
  <c r="F10" i="10"/>
  <c r="F11" i="10"/>
  <c r="F12" i="10"/>
  <c r="F13" i="10"/>
  <c r="F14" i="10"/>
  <c r="F15" i="10"/>
  <c r="G2" i="2"/>
  <c r="I2" i="2" s="1"/>
  <c r="H2" i="2" s="1"/>
  <c r="Z5" i="10"/>
  <c r="L3" i="10"/>
  <c r="AE3" i="10" l="1"/>
  <c r="AE2" i="10" s="1"/>
  <c r="AD2" i="10"/>
  <c r="K3" i="10"/>
  <c r="I5" i="10"/>
  <c r="D20" i="9" s="1"/>
  <c r="I4" i="10"/>
  <c r="D19" i="9" s="1"/>
  <c r="AC5" i="10" l="1"/>
  <c r="A14" i="10"/>
  <c r="A12" i="10"/>
  <c r="A15" i="10"/>
  <c r="A10" i="10"/>
  <c r="A13" i="10"/>
  <c r="A11" i="10"/>
  <c r="B4" i="10" l="1"/>
  <c r="D4" i="10" s="1"/>
  <c r="B6" i="10"/>
  <c r="D6" i="10" s="1"/>
  <c r="B5" i="10"/>
  <c r="D5" i="10" s="1"/>
  <c r="B2" i="10"/>
  <c r="D2" i="10" s="1"/>
  <c r="B3" i="10"/>
  <c r="D3" i="10" s="1"/>
  <c r="C13" i="9" l="1"/>
  <c r="C4" i="10"/>
  <c r="C5" i="10"/>
  <c r="C6" i="10"/>
  <c r="C15" i="9"/>
  <c r="D15" i="9" s="1"/>
  <c r="C12" i="9"/>
  <c r="C11" i="9"/>
  <c r="C2" i="10"/>
  <c r="D1" i="10"/>
  <c r="C14" i="9"/>
  <c r="C3" i="10"/>
  <c r="D13" i="9" l="1"/>
  <c r="D14" i="9"/>
  <c r="P1" i="2"/>
  <c r="M1" i="2"/>
  <c r="D11" i="9"/>
  <c r="D12" i="9"/>
  <c r="B1" i="9"/>
  <c r="C1" i="9" l="1"/>
  <c r="E11" i="9" s="1"/>
  <c r="E20" i="9"/>
  <c r="E19" i="9"/>
  <c r="E15" i="9" l="1"/>
  <c r="E13" i="9"/>
  <c r="E14" i="9"/>
  <c r="E12" i="9"/>
</calcChain>
</file>

<file path=xl/sharedStrings.xml><?xml version="1.0" encoding="utf-8"?>
<sst xmlns="http://schemas.openxmlformats.org/spreadsheetml/2006/main" count="876" uniqueCount="71">
  <si>
    <t>FECHA</t>
  </si>
  <si>
    <t>Etiquetas de fila</t>
  </si>
  <si>
    <t>Total general</t>
  </si>
  <si>
    <t>EFECTIVO</t>
  </si>
  <si>
    <t>h</t>
  </si>
  <si>
    <t>ESTADOS</t>
  </si>
  <si>
    <t>REGISTROS</t>
  </si>
  <si>
    <t>CONTESTA SIN RESPUESTA</t>
  </si>
  <si>
    <t>ERROR</t>
  </si>
  <si>
    <t>CONTESTADA EFECTIVA</t>
  </si>
  <si>
    <t>CONTESTADA PARCIAL</t>
  </si>
  <si>
    <t>NO EFECTIVO</t>
  </si>
  <si>
    <t>Costo</t>
  </si>
  <si>
    <t>Minutos</t>
  </si>
  <si>
    <t>%</t>
  </si>
  <si>
    <t>CONTACTABILIDAD</t>
  </si>
  <si>
    <t>BOT</t>
  </si>
  <si>
    <t>Servicebots</t>
  </si>
  <si>
    <t>Tipificación</t>
  </si>
  <si>
    <t>Cantidad</t>
  </si>
  <si>
    <t>Contactabilidad</t>
  </si>
  <si>
    <t>Suma de Cantidad</t>
  </si>
  <si>
    <t>Suma de Minutos</t>
  </si>
  <si>
    <t>Subtipología</t>
  </si>
  <si>
    <t>USUARIO CUELGA</t>
  </si>
  <si>
    <t>CONFIRMA CONOCER AL TITULAR</t>
  </si>
  <si>
    <t>CONFIRMA NO CONOCER AL TITULAR</t>
  </si>
  <si>
    <t>USUARIO DESEA PAGAR EN FECHA INVALIDA</t>
  </si>
  <si>
    <t>USUARIO INDICA QUE YA PAGO</t>
  </si>
  <si>
    <t>USUARIO NO PUEDE REALIZAR PAGO</t>
  </si>
  <si>
    <t>USUARIO NO TITULAR</t>
  </si>
  <si>
    <t>USUARIO PUEDE REALIZAR PAGO</t>
  </si>
  <si>
    <t>USUARIO PREGUNTA RAZON DE LLAMADA</t>
  </si>
  <si>
    <t>USUARIO TITULAR</t>
  </si>
  <si>
    <t>NA</t>
  </si>
  <si>
    <t>Registros</t>
  </si>
  <si>
    <t>Wisebot</t>
  </si>
  <si>
    <t>APRENDIZAJE</t>
  </si>
  <si>
    <t>COLGO</t>
  </si>
  <si>
    <t>CONTESTADORA</t>
  </si>
  <si>
    <t>CORTE_LLAMADO</t>
  </si>
  <si>
    <t>DE_PARTE_DE</t>
  </si>
  <si>
    <t>EQUIVOCADO</t>
  </si>
  <si>
    <t>FUERA_SERVICIO</t>
  </si>
  <si>
    <t>MOLESTO</t>
  </si>
  <si>
    <t>NO_CONTESTA</t>
  </si>
  <si>
    <t>TERCERO</t>
  </si>
  <si>
    <t>TITULAR</t>
  </si>
  <si>
    <t>VOLVER_LLAMAR</t>
  </si>
  <si>
    <t>FUERA_DE_SERVICIO</t>
  </si>
  <si>
    <t>FILTER_1</t>
  </si>
  <si>
    <t>Promedio Segundos</t>
  </si>
  <si>
    <t>Cuenta de Promedio Segundos</t>
  </si>
  <si>
    <t>META</t>
  </si>
  <si>
    <t>LINEA</t>
  </si>
  <si>
    <t>VACÍO</t>
  </si>
  <si>
    <t>SUMA</t>
  </si>
  <si>
    <t>ROJO</t>
  </si>
  <si>
    <t>NARANJA</t>
  </si>
  <si>
    <t>AMARILLO</t>
  </si>
  <si>
    <t>VERDE</t>
  </si>
  <si>
    <t>TOTAL</t>
  </si>
  <si>
    <t>DIFERENCIA</t>
  </si>
  <si>
    <t>Interacción</t>
  </si>
  <si>
    <t>SUBTIPOLOGÍA</t>
  </si>
  <si>
    <t>CANTIDAD</t>
  </si>
  <si>
    <t>EFECTIVA</t>
  </si>
  <si>
    <t>NO EFECTIVA</t>
  </si>
  <si>
    <t>interacci[onn efectiva</t>
  </si>
  <si>
    <t>Etiquetas de columna</t>
  </si>
  <si>
    <t>Suma de Cantidad2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</si>
</sst>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.00_-;\-* #,##0.00_-;_-* &quot;-&quot;??_-;_-@_-"/>
    <numFmt numFmtId="165" formatCode="d/mm/yyyy\ hh:mm"/>
    <numFmt numFmtId="166" formatCode="hh:mm"/>
    <numFmt numFmtId="167" formatCode="_-* #,##0_-;\-* #,##0_-;_-* &quot;-&quot;??_-;_-@_-"/>
    <numFmt numFmtId="168" formatCode="d/mm/yyyy"/>
    <numFmt numFmtId="169" formatCode="&quot;$&quot;#,##0"/>
    <numFmt numFmtId="170" formatCode="_-* #,##0.000000_-;\-* #,##0.000000_-;_-* &quot;-&quot;??_-;_-@_-"/>
    <numFmt numFmtId="171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9094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NumberFormat="1"/>
    <xf numFmtId="14" fontId="2" fillId="0" borderId="0" xfId="0" applyNumberFormat="1" applyFont="1"/>
    <xf numFmtId="167" fontId="0" fillId="0" borderId="0" xfId="1" applyNumberFormat="1" applyFont="1"/>
    <xf numFmtId="0" fontId="3" fillId="0" borderId="0" xfId="0" applyFont="1"/>
    <xf numFmtId="167" fontId="5" fillId="0" borderId="0" xfId="1" applyNumberFormat="1" applyFont="1"/>
    <xf numFmtId="167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vertical="center"/>
    </xf>
    <xf numFmtId="167" fontId="0" fillId="0" borderId="0" xfId="1" applyNumberFormat="1" applyFont="1" applyAlignment="1">
      <alignment vertical="center"/>
    </xf>
    <xf numFmtId="10" fontId="0" fillId="0" borderId="0" xfId="2" applyNumberFormat="1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0" fontId="0" fillId="2" borderId="0" xfId="0" applyNumberFormat="1" applyFill="1"/>
    <xf numFmtId="0" fontId="0" fillId="2" borderId="0" xfId="0" applyFill="1" applyAlignment="1">
      <alignment vertical="center"/>
    </xf>
    <xf numFmtId="167" fontId="0" fillId="2" borderId="0" xfId="0" applyNumberFormat="1" applyFont="1" applyFill="1" applyAlignment="1">
      <alignment vertical="center"/>
    </xf>
    <xf numFmtId="10" fontId="0" fillId="2" borderId="0" xfId="0" applyNumberFormat="1" applyFill="1" applyAlignment="1">
      <alignment vertical="center"/>
    </xf>
    <xf numFmtId="167" fontId="3" fillId="2" borderId="0" xfId="0" applyNumberFormat="1" applyFont="1" applyFill="1"/>
    <xf numFmtId="14" fontId="0" fillId="0" borderId="1" xfId="0" applyNumberFormat="1" applyFill="1" applyBorder="1" applyAlignment="1">
      <alignment horizontal="center"/>
    </xf>
    <xf numFmtId="166" fontId="0" fillId="0" borderId="2" xfId="0" applyNumberForma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1" applyNumberFormat="1" applyFont="1" applyFill="1" applyAlignment="1">
      <alignment horizontal="center"/>
    </xf>
    <xf numFmtId="165" fontId="0" fillId="0" borderId="0" xfId="0" applyNumberFormat="1" applyAlignment="1"/>
    <xf numFmtId="0" fontId="6" fillId="4" borderId="3" xfId="0" applyFont="1" applyFill="1" applyBorder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vertical="center"/>
    </xf>
    <xf numFmtId="169" fontId="0" fillId="0" borderId="4" xfId="0" applyNumberFormat="1" applyBorder="1"/>
    <xf numFmtId="167" fontId="0" fillId="0" borderId="4" xfId="1" applyNumberFormat="1" applyFont="1" applyBorder="1"/>
    <xf numFmtId="167" fontId="0" fillId="0" borderId="0" xfId="1" applyNumberFormat="1" applyFont="1" applyAlignment="1">
      <alignment horizontal="right" vertical="center"/>
    </xf>
    <xf numFmtId="167" fontId="0" fillId="0" borderId="0" xfId="1" applyNumberFormat="1" applyFont="1" applyAlignment="1"/>
    <xf numFmtId="10" fontId="0" fillId="0" borderId="0" xfId="0" applyNumberFormat="1"/>
    <xf numFmtId="167" fontId="0" fillId="0" borderId="0" xfId="0" applyNumberFormat="1" applyAlignment="1"/>
    <xf numFmtId="167" fontId="0" fillId="0" borderId="0" xfId="1" applyNumberFormat="1" applyFont="1" applyAlignment="1">
      <alignment horizontal="left"/>
    </xf>
    <xf numFmtId="170" fontId="0" fillId="0" borderId="0" xfId="0" applyNumberFormat="1"/>
    <xf numFmtId="171" fontId="0" fillId="0" borderId="0" xfId="0" applyNumberFormat="1"/>
    <xf numFmtId="0" fontId="0" fillId="0" borderId="0" xfId="0" applyNumberFormat="1" applyAlignment="1"/>
    <xf numFmtId="0" fontId="0" fillId="6" borderId="5" xfId="0" applyFill="1" applyBorder="1" applyAlignment="1">
      <alignment horizontal="center" vertical="center"/>
    </xf>
    <xf numFmtId="0" fontId="0" fillId="5" borderId="5" xfId="0" applyFill="1" applyBorder="1"/>
    <xf numFmtId="0" fontId="0" fillId="5" borderId="5" xfId="0" applyFill="1" applyBorder="1" applyAlignment="1">
      <alignment horizontal="center" vertical="center"/>
    </xf>
    <xf numFmtId="1" fontId="0" fillId="5" borderId="5" xfId="0" applyNumberFormat="1" applyFill="1" applyBorder="1" applyAlignment="1">
      <alignment horizontal="center" vertical="center"/>
    </xf>
    <xf numFmtId="0" fontId="7" fillId="7" borderId="5" xfId="0" applyFont="1" applyFill="1" applyBorder="1"/>
    <xf numFmtId="167" fontId="0" fillId="0" borderId="5" xfId="1" applyNumberFormat="1" applyFont="1" applyBorder="1"/>
    <xf numFmtId="0" fontId="2" fillId="8" borderId="0" xfId="0" applyFont="1" applyFill="1"/>
    <xf numFmtId="167" fontId="2" fillId="8" borderId="0" xfId="1" applyNumberFormat="1" applyFont="1" applyFill="1"/>
    <xf numFmtId="0" fontId="2" fillId="9" borderId="0" xfId="0" applyFont="1" applyFill="1"/>
    <xf numFmtId="167" fontId="2" fillId="9" borderId="0" xfId="1" applyNumberFormat="1" applyFont="1" applyFill="1"/>
    <xf numFmtId="0" fontId="0" fillId="10" borderId="0" xfId="0" applyFill="1" applyAlignment="1">
      <alignment horizontal="left"/>
    </xf>
    <xf numFmtId="0" fontId="0" fillId="10" borderId="0" xfId="0" applyFill="1"/>
    <xf numFmtId="0" fontId="0" fillId="0" borderId="0" xfId="0" applyAlignment="1">
      <alignment horizontal="left" indent="1"/>
    </xf>
    <xf numFmtId="168" fontId="0" fillId="0" borderId="0" xfId="0" applyNumberFormat="1" applyAlignment="1">
      <alignment horizontal="left"/>
    </xf>
  </cellXfs>
  <cellStyles count="3">
    <cellStyle name="Millares" xfId="1" builtinId="3"/>
    <cellStyle name="Normal" xfId="0" builtinId="0"/>
    <cellStyle name="Porcentaje" xfId="2" builtinId="5"/>
  </cellStyles>
  <dxfs count="126"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4" formatCode="0.00%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4" formatCode="0.00%"/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numFmt numFmtId="167" formatCode="_-* #,##0_-;\-* #,##0_-;_-* &quot;-&quot;??_-;_-@_-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ill>
        <patternFill>
          <fgColor indexed="64"/>
          <bgColor theme="0" tint="-4.9989318521683403E-2"/>
        </patternFill>
      </fill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 patternType="solid">
          <fgColor indexed="64"/>
          <bgColor rgb="FFE9094E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numFmt numFmtId="167" formatCode="_-* #,##0_-;\-* #,##0_-;_-* &quot;-&quot;??_-;_-@_-"/>
      <alignment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fgColor indexed="64"/>
          <bgColor theme="0" tint="-4.9989318521683403E-2"/>
        </patternFill>
      </fill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 patternType="solid">
          <fgColor indexed="64"/>
          <bgColor rgb="FFE9094E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7" formatCode="_-* #,##0_-;\-* #,##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alignment horizontal="general" vertical="bottom" textRotation="0" wrapText="0" indent="0" justifyLastLine="0" shrinkToFit="0" readingOrder="0"/>
    </dxf>
    <dxf>
      <numFmt numFmtId="166" formatCode="hh:mm"/>
      <alignment horizontal="center" vertical="bottom" textRotation="0" wrapText="0" indent="0" justifyLastLine="0" shrinkToFit="0" readingOrder="0"/>
    </dxf>
    <dxf>
      <numFmt numFmtId="166" formatCode="hh:mm"/>
      <alignment horizontal="center" vertical="bottom" textRotation="0" wrapText="0" indent="0" justifyLastLine="0" shrinkToFit="0" readingOrder="0"/>
    </dxf>
    <dxf>
      <numFmt numFmtId="168" formatCode="d/mm/yyyy"/>
      <alignment horizontal="center" vertical="bottom" textRotation="0" wrapText="0" indent="0" justifyLastLine="0" shrinkToFit="0" readingOrder="0"/>
    </dxf>
    <dxf>
      <numFmt numFmtId="168" formatCode="d/mm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ill>
        <patternFill patternType="solid">
          <fgColor indexed="64"/>
          <bgColor theme="1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rgb="FFCC113F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89013336588644"/>
          <bgColor theme="0" tint="-0.14996795556505021"/>
        </patternFill>
      </fill>
      <border>
        <bottom style="thin">
          <color theme="4"/>
        </bottom>
      </border>
    </dxf>
    <dxf>
      <font>
        <b/>
        <i val="0"/>
        <color theme="0"/>
      </font>
      <fill>
        <patternFill>
          <bgColor rgb="FF757575"/>
        </patternFill>
      </fill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2065187536243"/>
          <bgColor theme="0" tint="-4.9989318521683403E-2"/>
        </patternFill>
      </fill>
      <border>
        <bottom style="thin">
          <color theme="4"/>
        </bottom>
      </border>
    </dxf>
    <dxf>
      <font>
        <b/>
        <i val="0"/>
        <color theme="0"/>
      </font>
      <fill>
        <patternFill>
          <bgColor rgb="FF757575"/>
        </patternFill>
      </fill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5117038483843"/>
          <bgColor rgb="FFCDCDCD"/>
        </patternFill>
      </fill>
      <border>
        <bottom style="thin">
          <color theme="4"/>
        </bottom>
      </border>
    </dxf>
    <dxf>
      <fill>
        <patternFill>
          <bgColor rgb="FF757575"/>
        </patternFill>
      </fill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FF153C"/>
        </patternFill>
      </fill>
    </dxf>
  </dxfs>
  <tableStyles count="9" defaultTableStyle="TableStyleMedium2" defaultPivotStyle="PivotStyleLight16">
    <tableStyle name="Estilo de tabla 1" pivot="0" count="3" xr9:uid="{9E07DB5A-6B27-46B8-B221-5F52A6E36796}">
      <tableStyleElement type="headerRow" dxfId="125"/>
      <tableStyleElement type="firstRowStripe" dxfId="124"/>
      <tableStyleElement type="secondRowStripe" dxfId="123"/>
    </tableStyle>
    <tableStyle name="PivotStyleMedium2 2" table="0" count="13" xr9:uid="{67AF133A-E502-41E5-99C6-53060F7EF908}">
      <tableStyleElement type="wholeTable" dxfId="122"/>
      <tableStyleElement type="headerRow" dxfId="121"/>
      <tableStyleElement type="totalRow" dxfId="120"/>
      <tableStyleElement type="firstRowStripe" dxfId="119"/>
      <tableStyleElement type="firstColumnStripe" dxfId="118"/>
      <tableStyleElement type="firstHeaderCell" dxfId="117"/>
      <tableStyleElement type="firstSubtotalRow" dxfId="116"/>
      <tableStyleElement type="secondSubtotalRow" dxfId="115"/>
      <tableStyleElement type="firstColumnSubheading" dxfId="114"/>
      <tableStyleElement type="firstRowSubheading" dxfId="113"/>
      <tableStyleElement type="secondRowSubheading" dxfId="112"/>
      <tableStyleElement type="pageFieldLabels" dxfId="111"/>
      <tableStyleElement type="pageFieldValues" dxfId="110"/>
    </tableStyle>
    <tableStyle name="PivotStyleMedium2 2 2" table="0" count="8" xr9:uid="{00D94AE0-BEF9-403C-A22D-2889A9482FBB}">
      <tableStyleElement type="wholeTable" dxfId="109"/>
      <tableStyleElement type="headerRow" dxfId="108"/>
      <tableStyleElement type="totalRow" dxfId="107"/>
      <tableStyleElement type="firstColumnStripe" dxfId="106"/>
      <tableStyleElement type="firstRowSubheading" dxfId="105"/>
      <tableStyleElement type="secondRowSubheading" dxfId="104"/>
      <tableStyleElement type="pageFieldLabels" dxfId="103"/>
      <tableStyleElement type="pageFieldValues" dxfId="102"/>
    </tableStyle>
    <tableStyle name="PivotStyleMedium2 2 2 2" table="0" count="8" xr9:uid="{6AA649DD-E49D-45EC-9950-1C5EEBAAC203}">
      <tableStyleElement type="wholeTable" dxfId="101"/>
      <tableStyleElement type="headerRow" dxfId="100"/>
      <tableStyleElement type="totalRow" dxfId="99"/>
      <tableStyleElement type="firstColumnStripe" dxfId="98"/>
      <tableStyleElement type="firstRowSubheading" dxfId="97"/>
      <tableStyleElement type="secondRowSubheading" dxfId="96"/>
      <tableStyleElement type="pageFieldLabels" dxfId="95"/>
      <tableStyleElement type="pageFieldValues" dxfId="94"/>
    </tableStyle>
    <tableStyle name="PivotStyleMedium2 2 2 2 2" table="0" count="8" xr9:uid="{72EA665A-1B7D-4408-A7D2-22727DC3EB69}">
      <tableStyleElement type="wholeTable" dxfId="93"/>
      <tableStyleElement type="headerRow" dxfId="92"/>
      <tableStyleElement type="totalRow" dxfId="91"/>
      <tableStyleElement type="firstColumnStripe" dxfId="90"/>
      <tableStyleElement type="firstRowSubheading" dxfId="89"/>
      <tableStyleElement type="secondRowSubheading" dxfId="88"/>
      <tableStyleElement type="pageFieldLabels" dxfId="87"/>
      <tableStyleElement type="pageFieldValues" dxfId="86"/>
    </tableStyle>
    <tableStyle name="SlicerStyleLight1 2" pivot="0" table="0" count="10" xr9:uid="{94C38232-3550-4403-8890-AB19E825D52F}">
      <tableStyleElement type="wholeTable" dxfId="85"/>
      <tableStyleElement type="headerRow" dxfId="84"/>
    </tableStyle>
    <tableStyle name="TimeSlicerStyleDark1 2" pivot="0" table="0" count="9" xr9:uid="{443FD6AF-5A4E-4A88-B023-402B5897CB3F}">
      <tableStyleElement type="wholeTable" dxfId="83"/>
      <tableStyleElement type="headerRow" dxfId="82"/>
    </tableStyle>
    <tableStyle name="TimeSlicerStyleDark1 3" pivot="0" table="0" count="9" xr9:uid="{D77BD05C-A1A6-47AE-B6FD-8A1F163C1FF9}">
      <tableStyleElement type="wholeTable" dxfId="81"/>
      <tableStyleElement type="headerRow" dxfId="80"/>
    </tableStyle>
    <tableStyle name="TimeSlicerStyleDark3 2" pivot="0" table="0" count="9" xr9:uid="{B5A72E34-D354-4881-9D27-6407221C3F7C}">
      <tableStyleElement type="wholeTable" dxfId="79"/>
      <tableStyleElement type="headerRow" dxfId="78"/>
    </tableStyle>
  </tableStyles>
  <colors>
    <mruColors>
      <color rgb="FFC8D6EE"/>
      <color rgb="FF0052F6"/>
      <color rgb="FF13C5DD"/>
      <color rgb="FFD2A000"/>
      <color rgb="FFAEEFF8"/>
      <color rgb="FFE9094E"/>
      <color rgb="FFC50742"/>
      <color rgb="FFFD5D5D"/>
      <color rgb="FF003BB0"/>
      <color rgb="FFF6A0A0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color theme="1"/>
          </font>
          <fill>
            <patternFill patternType="solid">
              <fgColor auto="1"/>
              <bgColor rgb="FFE9778F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auto="1"/>
              <bgColor rgb="FFE97B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94183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94183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/>
            <color rgb="FFC00000"/>
          </font>
          <fill>
            <patternFill patternType="solid">
              <fgColor theme="4" tint="0.79995117038483843"/>
              <bgColor rgb="FFF5839E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CC113F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CC113F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color rgb="FFCC113F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21">
        <dxf>
          <fill>
            <patternFill patternType="solid">
              <fgColor theme="6" tint="0.39997558519241921"/>
              <bgColor theme="6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6"/>
              </stop>
              <stop position="1">
                <color theme="6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6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gradientFill degree="90">
              <stop position="0">
                <color rgb="FFFDA5BA"/>
              </stop>
              <stop position="1">
                <color rgb="FFFF7C80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rgb="FFE9094E"/>
              </stop>
              <stop position="1">
                <color rgb="FFC80843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20"/>
            <x15:timelineStyleElement type="timeLevel" dxfId="19"/>
            <x15:timelineStyleElement type="periodLabel1" dxfId="18"/>
            <x15:timelineStyleElement type="periodLabel2" dxfId="17"/>
            <x15:timelineStyleElement type="selectedTimeBlock" dxfId="16"/>
            <x15:timelineStyleElement type="unselectedTimeBlock" dxfId="15"/>
            <x15:timelineStyleElement type="selectedTimeBlockSpace" dxfId="14"/>
          </x15:timelineStyleElements>
        </x15:timelineStyle>
        <x15:timelineStyle name="TimeSlicerStyleDark1 3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Dark3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616426490753273E-2"/>
          <c:y val="8.8287586940066734E-2"/>
          <c:w val="0.88625158871534593"/>
          <c:h val="0.823769174719439"/>
        </c:manualLayout>
      </c:layout>
      <c:doughnutChart>
        <c:varyColors val="1"/>
        <c:ser>
          <c:idx val="0"/>
          <c:order val="0"/>
          <c:explosion val="3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80-400B-A929-3B77A38E9C19}"/>
              </c:ext>
            </c:extLst>
          </c:dPt>
          <c:dPt>
            <c:idx val="1"/>
            <c:bubble3D val="0"/>
            <c:spPr>
              <a:pattFill prst="pct20">
                <a:fgClr>
                  <a:srgbClr val="00B050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80-400B-A929-3B77A38E9C19}"/>
              </c:ext>
            </c:extLst>
          </c:dPt>
          <c:dLbls>
            <c:delete val="1"/>
          </c:dLbls>
          <c:cat>
            <c:strRef>
              <c:f>Dahsboard!$C$19:$C$20</c:f>
              <c:strCache>
                <c:ptCount val="2"/>
                <c:pt idx="0">
                  <c:v>EFECTIVO</c:v>
                </c:pt>
                <c:pt idx="1">
                  <c:v>NO EFECTIVO</c:v>
                </c:pt>
              </c:strCache>
            </c:strRef>
          </c:cat>
          <c:val>
            <c:numRef>
              <c:f>Dahsboard!$D$19:$D$20</c:f>
              <c:numCache>
                <c:formatCode>_-* #,##0_-;\-* #,##0_-;_-* "-"??_-;_-@_-</c:formatCode>
                <c:ptCount val="2"/>
                <c:pt idx="0">
                  <c:v>52226</c:v>
                </c:pt>
                <c:pt idx="1">
                  <c:v>47511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80-400B-A929-3B77A38E9C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61"/>
        <c:holeSize val="5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!TablaDinámica15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'!$O$9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'!$N$10:$N$13</c:f>
              <c:strCache>
                <c:ptCount val="3"/>
                <c:pt idx="0">
                  <c:v>CONTESTA SIN RESPUESTA</c:v>
                </c:pt>
                <c:pt idx="1">
                  <c:v>CONTESTADA EFECTIVA</c:v>
                </c:pt>
                <c:pt idx="2">
                  <c:v>CONTESTADA PARCIAL</c:v>
                </c:pt>
              </c:strCache>
            </c:strRef>
          </c:cat>
          <c:val>
            <c:numRef>
              <c:f>' '!$O$10:$O$13</c:f>
              <c:numCache>
                <c:formatCode>_-* #,##0_-;\-* #,##0_-;_-* "-"??_-;_-@_-</c:formatCode>
                <c:ptCount val="3"/>
                <c:pt idx="0">
                  <c:v>1430.3333333333333</c:v>
                </c:pt>
                <c:pt idx="1">
                  <c:v>1330.3999999999999</c:v>
                </c:pt>
                <c:pt idx="2">
                  <c:v>1016.7333333333333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A-4690-8FBD-28A3E06EBC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12879"/>
        <c:axId val="20214959"/>
      </c:barChart>
      <c:catAx>
        <c:axId val="2021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214959"/>
        <c:crosses val="autoZero"/>
        <c:auto val="1"/>
        <c:lblAlgn val="ctr"/>
        <c:lblOffset val="100"/>
        <c:noMultiLvlLbl val="0"/>
      </c:catAx>
      <c:valAx>
        <c:axId val="2021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212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i="0"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!TablaDinámica2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5074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 '!$W$9</c:f>
              <c:strCache>
                <c:ptCount val="1"/>
                <c:pt idx="0">
                  <c:v>Registros</c:v>
                </c:pt>
              </c:strCache>
            </c:strRef>
          </c:tx>
          <c:spPr>
            <a:solidFill>
              <a:srgbClr val="C50742"/>
            </a:solidFill>
            <a:ln>
              <a:noFill/>
            </a:ln>
            <a:effectLst/>
          </c:spPr>
          <c:invertIfNegative val="0"/>
          <c:cat>
            <c:strRef>
              <c:f>' '!$V$10:$V$20</c:f>
              <c:strCache>
                <c:ptCount val="10"/>
                <c:pt idx="0">
                  <c:v>APRENDIZAJE</c:v>
                </c:pt>
                <c:pt idx="1">
                  <c:v>COLGO</c:v>
                </c:pt>
                <c:pt idx="2">
                  <c:v>CORTE_LLAMADO</c:v>
                </c:pt>
                <c:pt idx="3">
                  <c:v>DE_PARTE_DE</c:v>
                </c:pt>
                <c:pt idx="4">
                  <c:v>EQUIVOCADO</c:v>
                </c:pt>
                <c:pt idx="5">
                  <c:v>MOLESTO</c:v>
                </c:pt>
                <c:pt idx="6">
                  <c:v>NO_CONTESTA</c:v>
                </c:pt>
                <c:pt idx="7">
                  <c:v>TERCERO</c:v>
                </c:pt>
                <c:pt idx="8">
                  <c:v>TITULAR</c:v>
                </c:pt>
                <c:pt idx="9">
                  <c:v>VOLVER_LLAMAR</c:v>
                </c:pt>
              </c:strCache>
            </c:strRef>
          </c:cat>
          <c:val>
            <c:numRef>
              <c:f>' '!$W$10:$W$20</c:f>
              <c:numCache>
                <c:formatCode>_-* #,##0_-;\-* #,##0_-;_-* "-"??_-;_-@_-</c:formatCode>
                <c:ptCount val="10"/>
                <c:pt idx="0">
                  <c:v>276</c:v>
                </c:pt>
                <c:pt idx="1">
                  <c:v>2648</c:v>
                </c:pt>
                <c:pt idx="2">
                  <c:v>1823</c:v>
                </c:pt>
                <c:pt idx="3">
                  <c:v>196</c:v>
                </c:pt>
                <c:pt idx="4">
                  <c:v>652</c:v>
                </c:pt>
                <c:pt idx="5">
                  <c:v>7</c:v>
                </c:pt>
                <c:pt idx="6">
                  <c:v>44896</c:v>
                </c:pt>
                <c:pt idx="7">
                  <c:v>266</c:v>
                </c:pt>
                <c:pt idx="8">
                  <c:v>1451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C-43D7-A034-F66D750B714E}"/>
            </c:ext>
          </c:extLst>
        </c:ser>
        <c:ser>
          <c:idx val="1"/>
          <c:order val="1"/>
          <c:tx>
            <c:strRef>
              <c:f>' '!$X$9</c:f>
              <c:strCache>
                <c:ptCount val="1"/>
                <c:pt idx="0">
                  <c:v>%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 '!$V$10:$V$20</c:f>
              <c:strCache>
                <c:ptCount val="10"/>
                <c:pt idx="0">
                  <c:v>APRENDIZAJE</c:v>
                </c:pt>
                <c:pt idx="1">
                  <c:v>COLGO</c:v>
                </c:pt>
                <c:pt idx="2">
                  <c:v>CORTE_LLAMADO</c:v>
                </c:pt>
                <c:pt idx="3">
                  <c:v>DE_PARTE_DE</c:v>
                </c:pt>
                <c:pt idx="4">
                  <c:v>EQUIVOCADO</c:v>
                </c:pt>
                <c:pt idx="5">
                  <c:v>MOLESTO</c:v>
                </c:pt>
                <c:pt idx="6">
                  <c:v>NO_CONTESTA</c:v>
                </c:pt>
                <c:pt idx="7">
                  <c:v>TERCERO</c:v>
                </c:pt>
                <c:pt idx="8">
                  <c:v>TITULAR</c:v>
                </c:pt>
                <c:pt idx="9">
                  <c:v>VOLVER_LLAMAR</c:v>
                </c:pt>
              </c:strCache>
            </c:strRef>
          </c:cat>
          <c:val>
            <c:numRef>
              <c:f>' '!$X$10:$X$20</c:f>
              <c:numCache>
                <c:formatCode>0.00%</c:formatCode>
                <c:ptCount val="10"/>
                <c:pt idx="0">
                  <c:v>5.2847240837896837E-3</c:v>
                </c:pt>
                <c:pt idx="1">
                  <c:v>5.0702715122735803E-2</c:v>
                </c:pt>
                <c:pt idx="2">
                  <c:v>3.490598552445142E-2</c:v>
                </c:pt>
                <c:pt idx="3">
                  <c:v>3.7529200015318041E-3</c:v>
                </c:pt>
                <c:pt idx="4">
                  <c:v>1.2484203270401716E-2</c:v>
                </c:pt>
                <c:pt idx="5">
                  <c:v>1.3403285719756444E-4</c:v>
                </c:pt>
                <c:pt idx="6">
                  <c:v>0.85964845096312181</c:v>
                </c:pt>
                <c:pt idx="7">
                  <c:v>5.093248573507448E-3</c:v>
                </c:pt>
                <c:pt idx="8">
                  <c:v>2.7783096541952285E-2</c:v>
                </c:pt>
                <c:pt idx="9">
                  <c:v>2.106230613104584E-4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C-43D7-A034-F66D750B7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751311"/>
        <c:axId val="1075765039"/>
      </c:barChart>
      <c:catAx>
        <c:axId val="107575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5765039"/>
        <c:crosses val="autoZero"/>
        <c:auto val="1"/>
        <c:lblAlgn val="ctr"/>
        <c:lblOffset val="100"/>
        <c:noMultiLvlLbl val="0"/>
      </c:catAx>
      <c:valAx>
        <c:axId val="107576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57513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spPr>
            <a:noFill/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D-A60E-4019-A191-929ECA3AFD7D}"/>
              </c:ext>
            </c:extLst>
          </c:dPt>
          <c:dPt>
            <c:idx val="1"/>
            <c:bubble3D val="0"/>
            <c:spPr>
              <a:solidFill>
                <a:srgbClr val="00B050">
                  <a:alpha val="1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E-A60E-4019-A191-929ECA3AFD7D}"/>
              </c:ext>
            </c:extLst>
          </c:dPt>
          <c:val>
            <c:numRef>
              <c:f>' '!$AW$3:$AW$4</c:f>
              <c:numCache>
                <c:formatCode>_-* #,##0_-;\-* #,##0_-;_-* "-"??_-;_-@_-</c:formatCode>
                <c:ptCount val="2"/>
                <c:pt idx="0">
                  <c:v>293493</c:v>
                </c:pt>
                <c:pt idx="1">
                  <c:v>197034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0E-4019-A191-929ECA3AFD7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60E-4019-A191-929ECA3AFD7D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60E-4019-A191-929ECA3AFD7D}"/>
              </c:ext>
            </c:extLst>
          </c:dPt>
          <c:val>
            <c:numRef>
              <c:f>' '!$AW$3:$AW$4</c:f>
              <c:numCache>
                <c:formatCode>_-* #,##0_-;\-* #,##0_-;_-* "-"??_-;_-@_-</c:formatCode>
                <c:ptCount val="2"/>
                <c:pt idx="0">
                  <c:v>293493</c:v>
                </c:pt>
                <c:pt idx="1">
                  <c:v>197034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0E-4019-A191-929ECA3AF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3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1F2A-4665-B298-44BAC1BD9062}"/>
              </c:ext>
            </c:extLst>
          </c:dPt>
          <c:dPt>
            <c:idx val="1"/>
            <c:bubble3D val="0"/>
            <c:spPr>
              <a:solidFill>
                <a:srgbClr val="C8D6EE"/>
              </a:solidFill>
            </c:spPr>
            <c:extLst>
              <c:ext xmlns:c16="http://schemas.microsoft.com/office/drawing/2014/chart" uri="{C3380CC4-5D6E-409C-BE32-E72D297353CC}">
                <c16:uniqueId val="{00000002-1F2A-4665-B298-44BAC1BD9062}"/>
              </c:ext>
            </c:extLst>
          </c:dPt>
          <c:val>
            <c:numRef>
              <c:f>' '!$AW$9:$AW$10</c:f>
              <c:numCache>
                <c:formatCode>_-* #,##0_-;\-* #,##0_-;_-* "-"??_-;_-@_-</c:formatCode>
                <c:ptCount val="2"/>
                <c:pt idx="0">
                  <c:v>201463</c:v>
                </c:pt>
                <c:pt idx="1">
                  <c:v>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2A-4665-B298-44BAC1BD9062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5-1F2A-4665-B298-44BAC1BD9062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1F2A-4665-B298-44BAC1BD9062}"/>
              </c:ext>
            </c:extLst>
          </c:dPt>
          <c:val>
            <c:numRef>
              <c:f>' '!$AW$9:$AW$10</c:f>
              <c:numCache>
                <c:formatCode>_-* #,##0_-;\-* #,##0_-;_-* "-"??_-;_-@_-</c:formatCode>
                <c:ptCount val="2"/>
                <c:pt idx="0">
                  <c:v>201463</c:v>
                </c:pt>
                <c:pt idx="1">
                  <c:v>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2A-4665-B298-44BAC1BD9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3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!TablaDinámica9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'!$BF$7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'!$BE$8:$BE$12</c:f>
              <c:strCache>
                <c:ptCount val="4"/>
                <c:pt idx="0">
                  <c:v>CONTESTADA PARCIAL</c:v>
                </c:pt>
                <c:pt idx="1">
                  <c:v>CONTESTADA EFECTIVA</c:v>
                </c:pt>
                <c:pt idx="2">
                  <c:v>ERROR</c:v>
                </c:pt>
                <c:pt idx="3">
                  <c:v>CONTESTA SIN RESPUESTA</c:v>
                </c:pt>
              </c:strCache>
            </c:strRef>
          </c:cat>
          <c:val>
            <c:numRef>
              <c:f>' '!$BF$8:$BF$12</c:f>
              <c:numCache>
                <c:formatCode>_-* #,##0_-;\-* #,##0_-;_-* "-"??_-;_-@_-</c:formatCode>
                <c:ptCount val="4"/>
                <c:pt idx="0">
                  <c:v>12111</c:v>
                </c:pt>
                <c:pt idx="1">
                  <c:v>19333</c:v>
                </c:pt>
                <c:pt idx="2">
                  <c:v>90548</c:v>
                </c:pt>
                <c:pt idx="3">
                  <c:v>170019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6-43C5-95A4-67EE9F990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6462623"/>
        <c:axId val="1206451391"/>
      </c:barChart>
      <c:catAx>
        <c:axId val="120646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6451391"/>
        <c:crosses val="autoZero"/>
        <c:auto val="1"/>
        <c:lblAlgn val="ctr"/>
        <c:lblOffset val="100"/>
        <c:noMultiLvlLbl val="0"/>
      </c:catAx>
      <c:valAx>
        <c:axId val="1206451391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206462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!TablaDinámica10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'!$BI$7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'!$BH$8:$BH$12</c:f>
              <c:strCache>
                <c:ptCount val="4"/>
                <c:pt idx="0">
                  <c:v>CONTESTADA PARCIAL</c:v>
                </c:pt>
                <c:pt idx="1">
                  <c:v>ERROR</c:v>
                </c:pt>
                <c:pt idx="2">
                  <c:v>CONTESTA SIN RESPUESTA</c:v>
                </c:pt>
                <c:pt idx="3">
                  <c:v>CONTESTADA EFECTIVA</c:v>
                </c:pt>
              </c:strCache>
            </c:strRef>
          </c:cat>
          <c:val>
            <c:numRef>
              <c:f>' '!$BI$8:$BI$12</c:f>
              <c:numCache>
                <c:formatCode>_-* #,##0_-;\-* #,##0_-;_-* "-"??_-;_-@_-</c:formatCode>
                <c:ptCount val="4"/>
                <c:pt idx="0">
                  <c:v>271629</c:v>
                </c:pt>
                <c:pt idx="1">
                  <c:v>197034</c:v>
                </c:pt>
                <c:pt idx="2">
                  <c:v>13733</c:v>
                </c:pt>
                <c:pt idx="3">
                  <c:v>8131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2-4824-B896-6C37E0CCE2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1439263"/>
        <c:axId val="381441343"/>
      </c:barChart>
      <c:catAx>
        <c:axId val="38143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1441343"/>
        <c:crosses val="autoZero"/>
        <c:auto val="1"/>
        <c:lblAlgn val="ctr"/>
        <c:lblOffset val="100"/>
        <c:noMultiLvlLbl val="0"/>
      </c:catAx>
      <c:valAx>
        <c:axId val="38144134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381439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!TablaDinámica1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065912125391394"/>
          <c:y val="0.1611153276080638"/>
          <c:w val="0.35806271822609309"/>
          <c:h val="0.7306923396333298"/>
        </c:manualLayout>
      </c:layout>
      <c:radarChart>
        <c:radarStyle val="filled"/>
        <c:varyColors val="0"/>
        <c:ser>
          <c:idx val="0"/>
          <c:order val="0"/>
          <c:tx>
            <c:strRef>
              <c:f>' '!$CC$7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 '!$CB$8:$CB$17</c:f>
              <c:strCache>
                <c:ptCount val="9"/>
                <c:pt idx="0">
                  <c:v>CONFIRMA CONOCER AL TITULAR</c:v>
                </c:pt>
                <c:pt idx="1">
                  <c:v>CONFIRMA NO CONOCER AL TITULAR</c:v>
                </c:pt>
                <c:pt idx="2">
                  <c:v>USUARIO DESEA PAGAR EN FECHA INVALIDA</c:v>
                </c:pt>
                <c:pt idx="3">
                  <c:v>USUARIO INDICA QUE YA PAGO</c:v>
                </c:pt>
                <c:pt idx="4">
                  <c:v>USUARIO NO PUEDE REALIZAR PAGO</c:v>
                </c:pt>
                <c:pt idx="5">
                  <c:v>USUARIO NO TITULAR</c:v>
                </c:pt>
                <c:pt idx="6">
                  <c:v>USUARIO PREGUNTA RAZON DE LLAMADA</c:v>
                </c:pt>
                <c:pt idx="7">
                  <c:v>USUARIO PUEDE REALIZAR PAGO</c:v>
                </c:pt>
                <c:pt idx="8">
                  <c:v>USUARIO TITULAR</c:v>
                </c:pt>
              </c:strCache>
            </c:strRef>
          </c:cat>
          <c:val>
            <c:numRef>
              <c:f>' '!$CC$8:$CC$17</c:f>
              <c:numCache>
                <c:formatCode>_-* #,##0_-;\-* #,##0_-;_-* "-"??_-;_-@_-</c:formatCode>
                <c:ptCount val="9"/>
                <c:pt idx="0">
                  <c:v>2426</c:v>
                </c:pt>
                <c:pt idx="1">
                  <c:v>2684</c:v>
                </c:pt>
                <c:pt idx="2">
                  <c:v>760</c:v>
                </c:pt>
                <c:pt idx="3">
                  <c:v>3814</c:v>
                </c:pt>
                <c:pt idx="4">
                  <c:v>3435</c:v>
                </c:pt>
                <c:pt idx="5">
                  <c:v>2542</c:v>
                </c:pt>
                <c:pt idx="6">
                  <c:v>417</c:v>
                </c:pt>
                <c:pt idx="7">
                  <c:v>6214</c:v>
                </c:pt>
                <c:pt idx="8">
                  <c:v>9152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F9-428F-9ECD-9E9F40E19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985855"/>
        <c:axId val="722983775"/>
      </c:radarChart>
      <c:catAx>
        <c:axId val="72298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22983775"/>
        <c:crosses val="autoZero"/>
        <c:auto val="1"/>
        <c:lblAlgn val="ctr"/>
        <c:lblOffset val="100"/>
        <c:noMultiLvlLbl val="0"/>
      </c:catAx>
      <c:valAx>
        <c:axId val="7229837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722985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!TablaDinámica17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035132046997951"/>
          <c:y val="5.9333674319608634E-2"/>
          <c:w val="0.44529964428155655"/>
          <c:h val="0.85471259953952372"/>
        </c:manualLayout>
      </c:layout>
      <c:radarChart>
        <c:radarStyle val="filled"/>
        <c:varyColors val="0"/>
        <c:ser>
          <c:idx val="0"/>
          <c:order val="0"/>
          <c:tx>
            <c:strRef>
              <c:f>' '!$CC$34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 '!$CB$35:$CB$41</c:f>
              <c:strCache>
                <c:ptCount val="6"/>
                <c:pt idx="0">
                  <c:v>DE_PARTE_DE</c:v>
                </c:pt>
                <c:pt idx="1">
                  <c:v>EQUIVOCADO</c:v>
                </c:pt>
                <c:pt idx="2">
                  <c:v>MOLESTO</c:v>
                </c:pt>
                <c:pt idx="3">
                  <c:v>TERCERO</c:v>
                </c:pt>
                <c:pt idx="4">
                  <c:v>TITULAR</c:v>
                </c:pt>
                <c:pt idx="5">
                  <c:v>VOLVER_LLAMAR</c:v>
                </c:pt>
              </c:strCache>
            </c:strRef>
          </c:cat>
          <c:val>
            <c:numRef>
              <c:f>' '!$CC$35:$CC$41</c:f>
              <c:numCache>
                <c:formatCode>_-* #,##0_-;\-* #,##0_-;_-* "-"??_-;_-@_-</c:formatCode>
                <c:ptCount val="6"/>
                <c:pt idx="0">
                  <c:v>1314</c:v>
                </c:pt>
                <c:pt idx="1">
                  <c:v>6508</c:v>
                </c:pt>
                <c:pt idx="2">
                  <c:v>39</c:v>
                </c:pt>
                <c:pt idx="3">
                  <c:v>1681</c:v>
                </c:pt>
                <c:pt idx="4">
                  <c:v>6351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B-44C3-A461-F0F28E249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417487"/>
        <c:axId val="665419983"/>
      </c:radarChart>
      <c:catAx>
        <c:axId val="66541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5419983"/>
        <c:crosses val="autoZero"/>
        <c:auto val="1"/>
        <c:lblAlgn val="ctr"/>
        <c:lblOffset val="100"/>
        <c:noMultiLvlLbl val="0"/>
      </c:catAx>
      <c:valAx>
        <c:axId val="6654199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66541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!TablaDinámica22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26560">
                <a:srgbClr val="4DC584"/>
              </a:gs>
              <a:gs pos="83000">
                <a:schemeClr val="bg1">
                  <a:lumMod val="95000"/>
                </a:schemeClr>
              </a:gs>
              <a:gs pos="0">
                <a:srgbClr val="00B050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 '!$CQ$7</c:f>
              <c:strCache>
                <c:ptCount val="1"/>
                <c:pt idx="0">
                  <c:v>Suma de Cantidad</c:v>
                </c:pt>
              </c:strCache>
            </c:strRef>
          </c:tx>
          <c:spPr>
            <a:gradFill>
              <a:gsLst>
                <a:gs pos="26560">
                  <a:srgbClr val="4DC584"/>
                </a:gs>
                <a:gs pos="83000">
                  <a:schemeClr val="bg1">
                    <a:lumMod val="95000"/>
                  </a:schemeClr>
                </a:gs>
                <a:gs pos="0">
                  <a:srgbClr val="00B050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' '!$CP$8:$CP$15</c:f>
              <c:strCache>
                <c:ptCount val="7"/>
                <c:pt idx="0">
                  <c:v>9/03/2024</c:v>
                </c:pt>
                <c:pt idx="1">
                  <c:v>10/03/2024</c:v>
                </c:pt>
                <c:pt idx="2">
                  <c:v>11/03/2024</c:v>
                </c:pt>
                <c:pt idx="3">
                  <c:v>13/03/2024</c:v>
                </c:pt>
                <c:pt idx="4">
                  <c:v>24/03/2024</c:v>
                </c:pt>
                <c:pt idx="5">
                  <c:v>27/03/2024</c:v>
                </c:pt>
                <c:pt idx="6">
                  <c:v>28/03/2024</c:v>
                </c:pt>
              </c:strCache>
            </c:strRef>
          </c:cat>
          <c:val>
            <c:numRef>
              <c:f>' '!$CQ$8:$CQ$15</c:f>
              <c:numCache>
                <c:formatCode>_-* #,##0_-;\-* #,##0_-;_-* "-"??_-;_-@_-</c:formatCode>
                <c:ptCount val="7"/>
                <c:pt idx="0">
                  <c:v>65251</c:v>
                </c:pt>
                <c:pt idx="1">
                  <c:v>46000</c:v>
                </c:pt>
                <c:pt idx="2">
                  <c:v>94182</c:v>
                </c:pt>
                <c:pt idx="3">
                  <c:v>77579</c:v>
                </c:pt>
                <c:pt idx="4">
                  <c:v>31436</c:v>
                </c:pt>
                <c:pt idx="5">
                  <c:v>76342</c:v>
                </c:pt>
                <c:pt idx="6">
                  <c:v>99737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C-40D2-B2DC-5CB5A50CB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271615"/>
        <c:axId val="1018273279"/>
      </c:areaChart>
      <c:lineChart>
        <c:grouping val="stacked"/>
        <c:varyColors val="0"/>
        <c:ser>
          <c:idx val="1"/>
          <c:order val="1"/>
          <c:tx>
            <c:strRef>
              <c:f>' '!$CR$7</c:f>
              <c:strCache>
                <c:ptCount val="1"/>
                <c:pt idx="0">
                  <c:v>Suma de Cantidad2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cat>
            <c:strRef>
              <c:f>' '!$CP$8:$CP$15</c:f>
              <c:strCache>
                <c:ptCount val="7"/>
                <c:pt idx="0">
                  <c:v>9/03/2024</c:v>
                </c:pt>
                <c:pt idx="1">
                  <c:v>10/03/2024</c:v>
                </c:pt>
                <c:pt idx="2">
                  <c:v>11/03/2024</c:v>
                </c:pt>
                <c:pt idx="3">
                  <c:v>13/03/2024</c:v>
                </c:pt>
                <c:pt idx="4">
                  <c:v>24/03/2024</c:v>
                </c:pt>
                <c:pt idx="5">
                  <c:v>27/03/2024</c:v>
                </c:pt>
                <c:pt idx="6">
                  <c:v>28/03/2024</c:v>
                </c:pt>
              </c:strCache>
            </c:strRef>
          </c:cat>
          <c:val>
            <c:numRef>
              <c:f>' '!$CR$8:$CR$15</c:f>
              <c:numCache>
                <c:formatCode>_-* #,##0_-;\-* #,##0_-;_-* "-"??_-;_-@_-</c:formatCode>
                <c:ptCount val="7"/>
                <c:pt idx="0">
                  <c:v>65251</c:v>
                </c:pt>
                <c:pt idx="1">
                  <c:v>46000</c:v>
                </c:pt>
                <c:pt idx="2">
                  <c:v>94182</c:v>
                </c:pt>
                <c:pt idx="3">
                  <c:v>77579</c:v>
                </c:pt>
                <c:pt idx="4">
                  <c:v>31436</c:v>
                </c:pt>
                <c:pt idx="5">
                  <c:v>76342</c:v>
                </c:pt>
                <c:pt idx="6">
                  <c:v>99737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CC-40D2-B2DC-5CB5A50CB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271615"/>
        <c:axId val="1018273279"/>
      </c:lineChart>
      <c:catAx>
        <c:axId val="101827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8273279"/>
        <c:crosses val="autoZero"/>
        <c:auto val="1"/>
        <c:lblAlgn val="ctr"/>
        <c:lblOffset val="100"/>
        <c:noMultiLvlLbl val="0"/>
      </c:catAx>
      <c:valAx>
        <c:axId val="101827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827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BOTS.xlsm] !TablaDinámica23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26560">
                <a:schemeClr val="accent1"/>
              </a:gs>
              <a:gs pos="83000">
                <a:schemeClr val="bg1">
                  <a:lumMod val="95000"/>
                </a:schemeClr>
              </a:gs>
              <a:gs pos="0">
                <a:schemeClr val="accent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 '!$CU$7</c:f>
              <c:strCache>
                <c:ptCount val="1"/>
                <c:pt idx="0">
                  <c:v>Suma de Cantidad</c:v>
                </c:pt>
              </c:strCache>
            </c:strRef>
          </c:tx>
          <c:spPr>
            <a:gradFill>
              <a:gsLst>
                <a:gs pos="26560">
                  <a:schemeClr val="accent1"/>
                </a:gs>
                <a:gs pos="83000">
                  <a:schemeClr val="bg1">
                    <a:lumMod val="95000"/>
                  </a:schemeClr>
                </a:gs>
                <a:gs pos="0">
                  <a:schemeClr val="accent1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' '!$CT$8:$CT$22</c:f>
              <c:strCache>
                <c:ptCount val="14"/>
                <c:pt idx="0">
                  <c:v>4/03/2024</c:v>
                </c:pt>
                <c:pt idx="1">
                  <c:v>5/03/2024</c:v>
                </c:pt>
                <c:pt idx="2">
                  <c:v>6/03/2024</c:v>
                </c:pt>
                <c:pt idx="3">
                  <c:v>7/03/2024</c:v>
                </c:pt>
                <c:pt idx="4">
                  <c:v>12/03/2024</c:v>
                </c:pt>
                <c:pt idx="5">
                  <c:v>13/03/2024</c:v>
                </c:pt>
                <c:pt idx="6">
                  <c:v>14/03/2024</c:v>
                </c:pt>
                <c:pt idx="7">
                  <c:v>15/03/2024</c:v>
                </c:pt>
                <c:pt idx="8">
                  <c:v>16/03/2024</c:v>
                </c:pt>
                <c:pt idx="9">
                  <c:v>18/03/2024</c:v>
                </c:pt>
                <c:pt idx="10">
                  <c:v>19/03/2024</c:v>
                </c:pt>
                <c:pt idx="11">
                  <c:v>20/03/2024</c:v>
                </c:pt>
                <c:pt idx="12">
                  <c:v>21/03/2024</c:v>
                </c:pt>
                <c:pt idx="13">
                  <c:v>22/03/2024</c:v>
                </c:pt>
              </c:strCache>
            </c:strRef>
          </c:cat>
          <c:val>
            <c:numRef>
              <c:f>' '!$CU$8:$CU$22</c:f>
              <c:numCache>
                <c:formatCode>_-* #,##0_-;\-* #,##0_-;_-* "-"??_-;_-@_-</c:formatCode>
                <c:ptCount val="14"/>
                <c:pt idx="0">
                  <c:v>5020</c:v>
                </c:pt>
                <c:pt idx="1">
                  <c:v>11610</c:v>
                </c:pt>
                <c:pt idx="2">
                  <c:v>15754</c:v>
                </c:pt>
                <c:pt idx="3">
                  <c:v>34690</c:v>
                </c:pt>
                <c:pt idx="4">
                  <c:v>24363</c:v>
                </c:pt>
                <c:pt idx="5">
                  <c:v>8127</c:v>
                </c:pt>
                <c:pt idx="6">
                  <c:v>15929</c:v>
                </c:pt>
                <c:pt idx="7">
                  <c:v>30422</c:v>
                </c:pt>
                <c:pt idx="8">
                  <c:v>15575</c:v>
                </c:pt>
                <c:pt idx="9">
                  <c:v>22147</c:v>
                </c:pt>
                <c:pt idx="10">
                  <c:v>45222</c:v>
                </c:pt>
                <c:pt idx="11">
                  <c:v>25111</c:v>
                </c:pt>
                <c:pt idx="12">
                  <c:v>18785</c:v>
                </c:pt>
                <c:pt idx="13">
                  <c:v>19256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9-42BA-B2E2-516F05D8E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59567"/>
        <c:axId val="807460399"/>
      </c:areaChart>
      <c:lineChart>
        <c:grouping val="stacked"/>
        <c:varyColors val="0"/>
        <c:ser>
          <c:idx val="1"/>
          <c:order val="1"/>
          <c:tx>
            <c:strRef>
              <c:f>' '!$CV$7</c:f>
              <c:strCache>
                <c:ptCount val="1"/>
                <c:pt idx="0">
                  <c:v>Suma de Cantidad2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cat>
            <c:strRef>
              <c:f>' '!$CT$8:$CT$22</c:f>
              <c:strCache>
                <c:ptCount val="14"/>
                <c:pt idx="0">
                  <c:v>4/03/2024</c:v>
                </c:pt>
                <c:pt idx="1">
                  <c:v>5/03/2024</c:v>
                </c:pt>
                <c:pt idx="2">
                  <c:v>6/03/2024</c:v>
                </c:pt>
                <c:pt idx="3">
                  <c:v>7/03/2024</c:v>
                </c:pt>
                <c:pt idx="4">
                  <c:v>12/03/2024</c:v>
                </c:pt>
                <c:pt idx="5">
                  <c:v>13/03/2024</c:v>
                </c:pt>
                <c:pt idx="6">
                  <c:v>14/03/2024</c:v>
                </c:pt>
                <c:pt idx="7">
                  <c:v>15/03/2024</c:v>
                </c:pt>
                <c:pt idx="8">
                  <c:v>16/03/2024</c:v>
                </c:pt>
                <c:pt idx="9">
                  <c:v>18/03/2024</c:v>
                </c:pt>
                <c:pt idx="10">
                  <c:v>19/03/2024</c:v>
                </c:pt>
                <c:pt idx="11">
                  <c:v>20/03/2024</c:v>
                </c:pt>
                <c:pt idx="12">
                  <c:v>21/03/2024</c:v>
                </c:pt>
                <c:pt idx="13">
                  <c:v>22/03/2024</c:v>
                </c:pt>
              </c:strCache>
            </c:strRef>
          </c:cat>
          <c:val>
            <c:numRef>
              <c:f>' '!$CV$8:$CV$22</c:f>
              <c:numCache>
                <c:formatCode>_-* #,##0_-;\-* #,##0_-;_-* "-"??_-;_-@_-</c:formatCode>
                <c:ptCount val="14"/>
                <c:pt idx="0">
                  <c:v>5020</c:v>
                </c:pt>
                <c:pt idx="1">
                  <c:v>11610</c:v>
                </c:pt>
                <c:pt idx="2">
                  <c:v>15754</c:v>
                </c:pt>
                <c:pt idx="3">
                  <c:v>34690</c:v>
                </c:pt>
                <c:pt idx="4">
                  <c:v>24363</c:v>
                </c:pt>
                <c:pt idx="5">
                  <c:v>8127</c:v>
                </c:pt>
                <c:pt idx="6">
                  <c:v>15929</c:v>
                </c:pt>
                <c:pt idx="7">
                  <c:v>30422</c:v>
                </c:pt>
                <c:pt idx="8">
                  <c:v>15575</c:v>
                </c:pt>
                <c:pt idx="9">
                  <c:v>22147</c:v>
                </c:pt>
                <c:pt idx="10">
                  <c:v>45222</c:v>
                </c:pt>
                <c:pt idx="11">
                  <c:v>25111</c:v>
                </c:pt>
                <c:pt idx="12">
                  <c:v>18785</c:v>
                </c:pt>
                <c:pt idx="13">
                  <c:v>19256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9-42BA-B2E2-516F05D8E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7459567"/>
        <c:axId val="807460399"/>
      </c:lineChart>
      <c:catAx>
        <c:axId val="80745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7460399"/>
        <c:crosses val="autoZero"/>
        <c:auto val="1"/>
        <c:lblAlgn val="ctr"/>
        <c:lblOffset val="100"/>
        <c:noMultiLvlLbl val="0"/>
      </c:catAx>
      <c:valAx>
        <c:axId val="8074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745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plotArea>
      <cx:plotAreaRegion>
        <cx:series layoutId="sunburst" uniqueId="{B9B0BFF6-ACF5-4745-8872-298B62AFBA81}">
          <cx:spPr>
            <a:gradFill>
              <a:gsLst>
                <a:gs pos="41000">
                  <a:srgbClr val="13C5DD"/>
                </a:gs>
                <a:gs pos="0">
                  <a:srgbClr val="13C5DD"/>
                </a:gs>
                <a:gs pos="84000">
                  <a:sysClr val="window" lastClr="FFFFFF">
                    <a:lumMod val="95000"/>
                  </a:sysClr>
                </a:gs>
              </a:gsLst>
              <a:lin ang="5400000" scaled="1"/>
            </a:gradFill>
            <a:ln>
              <a:solidFill>
                <a:schemeClr val="bg1">
                  <a:lumMod val="95000"/>
                </a:schemeClr>
              </a:solidFill>
            </a:ln>
          </cx:spPr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 b="1" i="1">
                    <a:solidFill>
                      <a:schemeClr val="bg1"/>
                    </a:solidFill>
                  </a:defRPr>
                </a:pPr>
                <a:endParaRPr lang="es-ES" sz="1600" b="1" i="1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series layoutId="clusteredColumn" uniqueId="{88F869AB-BC55-447D-BC13-992ED49A8D0F}">
          <cx:spPr>
            <a:solidFill>
              <a:srgbClr val="00B050"/>
            </a:solidFill>
          </cx:spPr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Pt idx="19">
            <cx:spPr>
              <a:solidFill>
                <a:srgbClr val="4472C4"/>
              </a:solidFill>
            </cx:spPr>
          </cx:dataPt>
          <cx:dataPt idx="20">
            <cx:spPr>
              <a:solidFill>
                <a:srgbClr val="4472C4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/>
                </a:pPr>
                <a:endParaRPr lang="es-ES" sz="10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5AA35566-8655-4CF1-BCAD-DFA2D486AF9B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 hidden="1">
        <cx:valScaling/>
        <cx:majorGridlines/>
        <cx:tickLabels/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 b="1"/>
            </a:pPr>
            <a:endParaRPr lang="es-ES" sz="11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2.png"/><Relationship Id="rId7" Type="http://schemas.openxmlformats.org/officeDocument/2006/relationships/chart" Target="../charts/chart2.xml"/><Relationship Id="rId12" Type="http://schemas.openxmlformats.org/officeDocument/2006/relationships/image" Target="../media/image9.sv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4.png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11.xml"/><Relationship Id="rId3" Type="http://schemas.openxmlformats.org/officeDocument/2006/relationships/chart" Target="../charts/chart4.xml"/><Relationship Id="rId7" Type="http://schemas.microsoft.com/office/2014/relationships/chartEx" Target="../charts/chartEx2.xml"/><Relationship Id="rId12" Type="http://schemas.openxmlformats.org/officeDocument/2006/relationships/chart" Target="../charts/chart10.xml"/><Relationship Id="rId2" Type="http://schemas.microsoft.com/office/2014/relationships/chartEx" Target="../charts/chartEx1.xml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11" Type="http://schemas.openxmlformats.org/officeDocument/2006/relationships/chart" Target="../charts/chart9.xml"/><Relationship Id="rId5" Type="http://schemas.openxmlformats.org/officeDocument/2006/relationships/chart" Target="../charts/chart6.xml"/><Relationship Id="rId10" Type="http://schemas.openxmlformats.org/officeDocument/2006/relationships/chart" Target="../charts/chart8.xml"/><Relationship Id="rId4" Type="http://schemas.openxmlformats.org/officeDocument/2006/relationships/chart" Target="../charts/chart5.xml"/><Relationship Id="rId9" Type="http://schemas.openxmlformats.org/officeDocument/2006/relationships/image" Target="../media/image1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190499</xdr:colOff>
      <xdr:row>29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229DC72-C923-44E6-9A5D-CD4D8AEB21B5}"/>
            </a:ext>
          </a:extLst>
        </xdr:cNvPr>
        <xdr:cNvSpPr/>
      </xdr:nvSpPr>
      <xdr:spPr>
        <a:xfrm>
          <a:off x="0" y="0"/>
          <a:ext cx="33470849" cy="566737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296333</xdr:colOff>
      <xdr:row>1</xdr:row>
      <xdr:rowOff>68790</xdr:rowOff>
    </xdr:from>
    <xdr:to>
      <xdr:col>15</xdr:col>
      <xdr:colOff>177971</xdr:colOff>
      <xdr:row>4</xdr:row>
      <xdr:rowOff>46378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B09F68D3-D8EB-44D9-A30E-61934CA43499}"/>
            </a:ext>
          </a:extLst>
        </xdr:cNvPr>
        <xdr:cNvGrpSpPr/>
      </xdr:nvGrpSpPr>
      <xdr:grpSpPr>
        <a:xfrm>
          <a:off x="10404739" y="259290"/>
          <a:ext cx="2167638" cy="549088"/>
          <a:chOff x="1391331" y="1265309"/>
          <a:chExt cx="6252484" cy="1592579"/>
        </a:xfrm>
      </xdr:grpSpPr>
      <xdr:sp macro="" textlink="">
        <xdr:nvSpPr>
          <xdr:cNvPr id="7" name="Freeform 21">
            <a:extLst>
              <a:ext uri="{FF2B5EF4-FFF2-40B4-BE49-F238E27FC236}">
                <a16:creationId xmlns:a16="http://schemas.microsoft.com/office/drawing/2014/main" id="{581592E3-FA22-49B9-8D53-67B87E3B8274}"/>
              </a:ext>
            </a:extLst>
          </xdr:cNvPr>
          <xdr:cNvSpPr/>
        </xdr:nvSpPr>
        <xdr:spPr>
          <a:xfrm>
            <a:off x="1391331" y="1265309"/>
            <a:ext cx="1684327" cy="1592579"/>
          </a:xfrm>
          <a:custGeom>
            <a:avLst/>
            <a:gdLst/>
            <a:ahLst/>
            <a:cxnLst/>
            <a:rect l="l" t="t" r="r" b="b"/>
            <a:pathLst>
              <a:path w="1684327" h="1592579">
                <a:moveTo>
                  <a:pt x="0" y="0"/>
                </a:moveTo>
                <a:lnTo>
                  <a:pt x="1684328" y="0"/>
                </a:lnTo>
                <a:lnTo>
                  <a:pt x="1684328" y="1592579"/>
                </a:lnTo>
                <a:lnTo>
                  <a:pt x="0" y="159257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 l="-25074" r="-27423" b="-42755"/>
            </a:stretch>
          </a:blipFill>
        </xdr:spPr>
        <xdr:txBody>
          <a:bodyPr wrap="square"/>
          <a:lstStyle/>
          <a:p>
            <a:endParaRPr lang="es-CO"/>
          </a:p>
        </xdr:txBody>
      </xdr:sp>
      <xdr:sp macro="" textlink="">
        <xdr:nvSpPr>
          <xdr:cNvPr id="8" name="Freeform 22">
            <a:extLst>
              <a:ext uri="{FF2B5EF4-FFF2-40B4-BE49-F238E27FC236}">
                <a16:creationId xmlns:a16="http://schemas.microsoft.com/office/drawing/2014/main" id="{11F818EB-7C4B-41B8-B0E7-43AE4976CE7E}"/>
              </a:ext>
            </a:extLst>
          </xdr:cNvPr>
          <xdr:cNvSpPr/>
        </xdr:nvSpPr>
        <xdr:spPr>
          <a:xfrm>
            <a:off x="3154232" y="1713908"/>
            <a:ext cx="4489583" cy="1143980"/>
          </a:xfrm>
          <a:custGeom>
            <a:avLst/>
            <a:gdLst/>
            <a:ahLst/>
            <a:cxnLst/>
            <a:rect l="l" t="t" r="r" b="b"/>
            <a:pathLst>
              <a:path w="4489583" h="1143980">
                <a:moveTo>
                  <a:pt x="0" y="0"/>
                </a:moveTo>
                <a:lnTo>
                  <a:pt x="4489582" y="0"/>
                </a:lnTo>
                <a:lnTo>
                  <a:pt x="4489582" y="1143980"/>
                </a:lnTo>
                <a:lnTo>
                  <a:pt x="0" y="114398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 l="-9976" t="-295662" r="-10995" b="-24556"/>
            </a:stretch>
          </a:blipFill>
        </xdr:spPr>
        <xdr:txBody>
          <a:bodyPr wrap="square"/>
          <a:lstStyle/>
          <a:p>
            <a:endParaRPr lang="es-CO"/>
          </a:p>
        </xdr:txBody>
      </xdr:sp>
    </xdr:grpSp>
    <xdr:clientData/>
  </xdr:twoCellAnchor>
  <xdr:twoCellAnchor>
    <xdr:from>
      <xdr:col>2</xdr:col>
      <xdr:colOff>13229</xdr:colOff>
      <xdr:row>1</xdr:row>
      <xdr:rowOff>63500</xdr:rowOff>
    </xdr:from>
    <xdr:to>
      <xdr:col>8</xdr:col>
      <xdr:colOff>0</xdr:colOff>
      <xdr:row>4</xdr:row>
      <xdr:rowOff>907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193F4B41-FAEE-496D-9CB5-78987AEECE39}"/>
            </a:ext>
          </a:extLst>
        </xdr:cNvPr>
        <xdr:cNvSpPr/>
      </xdr:nvSpPr>
      <xdr:spPr>
        <a:xfrm>
          <a:off x="277812" y="254000"/>
          <a:ext cx="6339417" cy="5089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2400" b="1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Resumen de Interacicones - BOT</a:t>
          </a:r>
        </a:p>
      </xdr:txBody>
    </xdr:sp>
    <xdr:clientData/>
  </xdr:twoCellAnchor>
  <xdr:twoCellAnchor>
    <xdr:from>
      <xdr:col>1</xdr:col>
      <xdr:colOff>253999</xdr:colOff>
      <xdr:row>4</xdr:row>
      <xdr:rowOff>15876</xdr:rowOff>
    </xdr:from>
    <xdr:to>
      <xdr:col>7</xdr:col>
      <xdr:colOff>660135</xdr:colOff>
      <xdr:row>6</xdr:row>
      <xdr:rowOff>15874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13BA7814-E5E4-4C57-B933-1B62EFE3D423}"/>
            </a:ext>
          </a:extLst>
        </xdr:cNvPr>
        <xdr:cNvSpPr/>
      </xdr:nvSpPr>
      <xdr:spPr>
        <a:xfrm>
          <a:off x="253999" y="777876"/>
          <a:ext cx="5464969" cy="3809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Evaluación de Efectividad y Tendencias</a:t>
          </a:r>
          <a:endParaRPr lang="es-CO" sz="24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7</xdr:col>
      <xdr:colOff>1136197</xdr:colOff>
      <xdr:row>0</xdr:row>
      <xdr:rowOff>140227</xdr:rowOff>
    </xdr:from>
    <xdr:to>
      <xdr:col>11</xdr:col>
      <xdr:colOff>640290</xdr:colOff>
      <xdr:row>6</xdr:row>
      <xdr:rowOff>87310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3" name="FECHA">
              <a:extLst>
                <a:ext uri="{FF2B5EF4-FFF2-40B4-BE49-F238E27FC236}">
                  <a16:creationId xmlns:a16="http://schemas.microsoft.com/office/drawing/2014/main" id="{4F664DC5-0215-4F6E-9CC8-8645376B53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22572" y="140227"/>
              <a:ext cx="3564124" cy="10900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11</xdr:col>
      <xdr:colOff>26457</xdr:colOff>
      <xdr:row>0</xdr:row>
      <xdr:rowOff>55561</xdr:rowOff>
    </xdr:from>
    <xdr:to>
      <xdr:col>11</xdr:col>
      <xdr:colOff>736600</xdr:colOff>
      <xdr:row>2</xdr:row>
      <xdr:rowOff>150471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A623F8F6-A2DE-4BD7-814B-9B9A6D332475}"/>
            </a:ext>
          </a:extLst>
        </xdr:cNvPr>
        <xdr:cNvSpPr/>
      </xdr:nvSpPr>
      <xdr:spPr>
        <a:xfrm>
          <a:off x="9372863" y="55561"/>
          <a:ext cx="710143" cy="4759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t>📅</a:t>
          </a:r>
          <a:endParaRPr lang="en-US" sz="1800" i="0" u="none" strike="noStrike">
            <a:solidFill>
              <a:schemeClr val="bg2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5</xdr:col>
      <xdr:colOff>373061</xdr:colOff>
      <xdr:row>7</xdr:row>
      <xdr:rowOff>98953</xdr:rowOff>
    </xdr:from>
    <xdr:to>
      <xdr:col>7</xdr:col>
      <xdr:colOff>1505477</xdr:colOff>
      <xdr:row>21</xdr:row>
      <xdr:rowOff>21298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FBA9D45F-E710-47B2-A29C-7F7A126EB533}"/>
            </a:ext>
          </a:extLst>
        </xdr:cNvPr>
        <xdr:cNvGrpSpPr/>
      </xdr:nvGrpSpPr>
      <xdr:grpSpPr>
        <a:xfrm>
          <a:off x="4135436" y="1432453"/>
          <a:ext cx="2656416" cy="3375158"/>
          <a:chOff x="4111624" y="1384829"/>
          <a:chExt cx="2656416" cy="3375158"/>
        </a:xfrm>
      </xdr:grpSpPr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C870663B-F8FB-4E77-8517-6F7537DD7B0F}"/>
              </a:ext>
            </a:extLst>
          </xdr:cNvPr>
          <xdr:cNvGrpSpPr/>
        </xdr:nvGrpSpPr>
        <xdr:grpSpPr>
          <a:xfrm>
            <a:off x="4111624" y="1384829"/>
            <a:ext cx="2656416" cy="3375158"/>
            <a:chOff x="4000499" y="1555748"/>
            <a:chExt cx="2656416" cy="3389445"/>
          </a:xfrm>
        </xdr:grpSpPr>
        <xdr:grpSp>
          <xdr:nvGrpSpPr>
            <xdr:cNvPr id="19" name="Grupo 18">
              <a:extLst>
                <a:ext uri="{FF2B5EF4-FFF2-40B4-BE49-F238E27FC236}">
                  <a16:creationId xmlns:a16="http://schemas.microsoft.com/office/drawing/2014/main" id="{0591CFF8-4CAA-4FE4-B997-8CD028DCC779}"/>
                </a:ext>
              </a:extLst>
            </xdr:cNvPr>
            <xdr:cNvGrpSpPr/>
          </xdr:nvGrpSpPr>
          <xdr:grpSpPr>
            <a:xfrm>
              <a:off x="4000499" y="1555748"/>
              <a:ext cx="2656416" cy="3389445"/>
              <a:chOff x="3873499" y="1555748"/>
              <a:chExt cx="2656416" cy="3389445"/>
            </a:xfrm>
          </xdr:grpSpPr>
          <xdr:grpSp>
            <xdr:nvGrpSpPr>
              <xdr:cNvPr id="17" name="Grupo 16">
                <a:extLst>
                  <a:ext uri="{FF2B5EF4-FFF2-40B4-BE49-F238E27FC236}">
                    <a16:creationId xmlns:a16="http://schemas.microsoft.com/office/drawing/2014/main" id="{45162067-D915-418F-A263-8B7F55733DFE}"/>
                  </a:ext>
                </a:extLst>
              </xdr:cNvPr>
              <xdr:cNvGrpSpPr/>
            </xdr:nvGrpSpPr>
            <xdr:grpSpPr>
              <a:xfrm>
                <a:off x="3873499" y="1555748"/>
                <a:ext cx="2656416" cy="3389445"/>
                <a:chOff x="3894667" y="1629833"/>
                <a:chExt cx="2444749" cy="2923008"/>
              </a:xfrm>
            </xdr:grpSpPr>
            <xdr:sp macro="" textlink="">
              <xdr:nvSpPr>
                <xdr:cNvPr id="15" name="Rectángulo: esquinas redondeadas 14">
                  <a:extLst>
                    <a:ext uri="{FF2B5EF4-FFF2-40B4-BE49-F238E27FC236}">
                      <a16:creationId xmlns:a16="http://schemas.microsoft.com/office/drawing/2014/main" id="{F710E510-721D-4993-82CA-A93E68B74474}"/>
                    </a:ext>
                  </a:extLst>
                </xdr:cNvPr>
                <xdr:cNvSpPr/>
              </xdr:nvSpPr>
              <xdr:spPr>
                <a:xfrm>
                  <a:off x="3894667" y="1629833"/>
                  <a:ext cx="2444749" cy="2865852"/>
                </a:xfrm>
                <a:prstGeom prst="roundRect">
                  <a:avLst>
                    <a:gd name="adj" fmla="val 1901"/>
                  </a:avLst>
                </a:prstGeom>
                <a:solidFill>
                  <a:schemeClr val="bg1"/>
                </a:solidFill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 b="1">
                    <a:solidFill>
                      <a:srgbClr val="0070C0"/>
                    </a:solidFill>
                  </a:endParaRPr>
                </a:p>
              </xdr:txBody>
            </xdr:sp>
            <xdr:grpSp>
              <xdr:nvGrpSpPr>
                <xdr:cNvPr id="11" name="Grupo 10">
                  <a:extLst>
                    <a:ext uri="{FF2B5EF4-FFF2-40B4-BE49-F238E27FC236}">
                      <a16:creationId xmlns:a16="http://schemas.microsoft.com/office/drawing/2014/main" id="{61718C05-F0BA-495C-938F-64DE7A310A82}"/>
                    </a:ext>
                  </a:extLst>
                </xdr:cNvPr>
                <xdr:cNvGrpSpPr/>
              </xdr:nvGrpSpPr>
              <xdr:grpSpPr>
                <a:xfrm>
                  <a:off x="3945484" y="1636290"/>
                  <a:ext cx="2257574" cy="2916551"/>
                  <a:chOff x="10801368" y="3500418"/>
                  <a:chExt cx="2257574" cy="2623863"/>
                </a:xfrm>
              </xdr:grpSpPr>
              <xdr:sp macro="" textlink="">
                <xdr:nvSpPr>
                  <xdr:cNvPr id="13" name="Rectángulo 12">
                    <a:extLst>
                      <a:ext uri="{FF2B5EF4-FFF2-40B4-BE49-F238E27FC236}">
                        <a16:creationId xmlns:a16="http://schemas.microsoft.com/office/drawing/2014/main" id="{8D6134BA-0EA2-4081-9CF1-87831D24D930}"/>
                      </a:ext>
                    </a:extLst>
                  </xdr:cNvPr>
                  <xdr:cNvSpPr/>
                </xdr:nvSpPr>
                <xdr:spPr>
                  <a:xfrm>
                    <a:off x="11394615" y="3500418"/>
                    <a:ext cx="1557187" cy="536119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en-US" sz="1400" b="1" i="0" u="none" strike="noStrike">
                        <a:solidFill>
                          <a:schemeClr val="tx1"/>
                        </a:solidFill>
                        <a:latin typeface="Calibri"/>
                        <a:cs typeface="Calibri"/>
                      </a:rPr>
                      <a:t>Indicador </a:t>
                    </a:r>
                    <a:r>
                      <a:rPr lang="en-US" sz="1400" b="1" i="0" u="none" strike="noStrike" baseline="0">
                        <a:solidFill>
                          <a:schemeClr val="tx1"/>
                        </a:solidFill>
                        <a:latin typeface="Calibri"/>
                        <a:cs typeface="Calibri"/>
                      </a:rPr>
                      <a:t>de Contactabilidad</a:t>
                    </a:r>
                    <a:endParaRPr lang="en-US" sz="1400" b="1" i="0" u="none" strike="noStrike">
                      <a:solidFill>
                        <a:schemeClr val="tx1"/>
                      </a:solidFill>
                      <a:latin typeface="Calibri"/>
                      <a:cs typeface="Calibri"/>
                    </a:endParaRPr>
                  </a:p>
                </xdr:txBody>
              </xdr:sp>
              <xdr:graphicFrame macro="">
                <xdr:nvGraphicFramePr>
                  <xdr:cNvPr id="14" name="Gráfico 13">
                    <a:extLst>
                      <a:ext uri="{FF2B5EF4-FFF2-40B4-BE49-F238E27FC236}">
                        <a16:creationId xmlns:a16="http://schemas.microsoft.com/office/drawing/2014/main" id="{6157D720-153F-4122-8A15-A85BED004F02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01368" y="3987269"/>
                  <a:ext cx="2257574" cy="2137012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2"/>
                  </a:graphicData>
                </a:graphic>
              </xdr:graphicFrame>
            </xdr:grpSp>
          </xdr:grpSp>
          <xdr:sp macro="" textlink="$E$19">
            <xdr:nvSpPr>
              <xdr:cNvPr id="18" name="Rectángulo 17">
                <a:extLst>
                  <a:ext uri="{FF2B5EF4-FFF2-40B4-BE49-F238E27FC236}">
                    <a16:creationId xmlns:a16="http://schemas.microsoft.com/office/drawing/2014/main" id="{710B32DE-15B3-4B50-A888-AECBD1F4721A}"/>
                  </a:ext>
                </a:extLst>
              </xdr:cNvPr>
              <xdr:cNvSpPr/>
            </xdr:nvSpPr>
            <xdr:spPr>
              <a:xfrm>
                <a:off x="4709583" y="3217331"/>
                <a:ext cx="994833" cy="42333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94CC6D5C-D41E-4706-9AB7-909A8033C430}" type="TxLink">
                  <a:rPr lang="en-US" sz="1600" b="1" i="0" u="none" strike="noStrike">
                    <a:solidFill>
                      <a:srgbClr val="00B050"/>
                    </a:solidFill>
                    <a:latin typeface="Calibri"/>
                    <a:ea typeface="Calibri"/>
                    <a:cs typeface="Calibri"/>
                  </a:rPr>
                  <a:pPr algn="ctr"/>
                  <a:t>52.36%</a:t>
                </a:fld>
                <a:endParaRPr lang="en-US" sz="2000" b="1" i="0" u="none" strike="noStrike">
                  <a:solidFill>
                    <a:srgbClr val="00B050"/>
                  </a:solidFill>
                  <a:latin typeface="Calibri"/>
                  <a:cs typeface="Calibri"/>
                </a:endParaRPr>
              </a:p>
            </xdr:txBody>
          </xdr:sp>
        </xdr:grpSp>
        <xdr:pic>
          <xdr:nvPicPr>
            <xdr:cNvPr id="21" name="Gráfico 20" descr="Altavoz de teléfono con relleno sólido">
              <a:extLst>
                <a:ext uri="{FF2B5EF4-FFF2-40B4-BE49-F238E27FC236}">
                  <a16:creationId xmlns:a16="http://schemas.microsoft.com/office/drawing/2014/main" id="{929C2E21-D20D-49C3-9495-D4862F3672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138083" y="1725084"/>
              <a:ext cx="391583" cy="391583"/>
            </a:xfrm>
            <a:prstGeom prst="rect">
              <a:avLst/>
            </a:prstGeom>
          </xdr:spPr>
        </xdr:pic>
      </xdr:grpSp>
      <xdr:sp macro="" textlink="$D$19">
        <xdr:nvSpPr>
          <xdr:cNvPr id="25" name="Rectángulo 24">
            <a:extLst>
              <a:ext uri="{FF2B5EF4-FFF2-40B4-BE49-F238E27FC236}">
                <a16:creationId xmlns:a16="http://schemas.microsoft.com/office/drawing/2014/main" id="{CA840C34-ACE1-4156-BE28-F16DF230949C}"/>
              </a:ext>
            </a:extLst>
          </xdr:cNvPr>
          <xdr:cNvSpPr/>
        </xdr:nvSpPr>
        <xdr:spPr>
          <a:xfrm>
            <a:off x="4926542" y="3368146"/>
            <a:ext cx="931334" cy="3598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1BC816E-4C46-486B-9782-65E420C49648}" type="TxLink">
              <a:rPr lang="en-US" sz="1400" b="0" i="0" u="none" strike="noStrike">
                <a:solidFill>
                  <a:srgbClr val="00B050"/>
                </a:solidFill>
                <a:latin typeface="Calibri"/>
                <a:ea typeface="Calibri"/>
                <a:cs typeface="Calibri"/>
              </a:rPr>
              <a:pPr algn="ctr"/>
              <a:t> 52,226 </a:t>
            </a:fld>
            <a:endParaRPr lang="en-US" sz="2800" b="0" i="0" u="none" strike="noStrike">
              <a:solidFill>
                <a:srgbClr val="00B050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8</xdr:col>
      <xdr:colOff>40823</xdr:colOff>
      <xdr:row>7</xdr:row>
      <xdr:rowOff>55718</xdr:rowOff>
    </xdr:from>
    <xdr:to>
      <xdr:col>11</xdr:col>
      <xdr:colOff>59873</xdr:colOff>
      <xdr:row>11</xdr:row>
      <xdr:rowOff>285376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17B5D3B5-D248-4959-8688-61DDFA9690EF}"/>
            </a:ext>
          </a:extLst>
        </xdr:cNvPr>
        <xdr:cNvGrpSpPr/>
      </xdr:nvGrpSpPr>
      <xdr:grpSpPr>
        <a:xfrm>
          <a:off x="7101229" y="1389218"/>
          <a:ext cx="2305050" cy="1110721"/>
          <a:chOff x="7493001" y="1471084"/>
          <a:chExt cx="2305050" cy="1153583"/>
        </a:xfrm>
      </xdr:grpSpPr>
      <xdr:sp macro="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B167827F-2C71-4E21-A316-919E62E1792C}"/>
              </a:ext>
            </a:extLst>
          </xdr:cNvPr>
          <xdr:cNvSpPr/>
        </xdr:nvSpPr>
        <xdr:spPr>
          <a:xfrm>
            <a:off x="7493001" y="1471084"/>
            <a:ext cx="2305050" cy="1153583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' '!L3">
        <xdr:nvSpPr>
          <xdr:cNvPr id="29" name="Rectángulo 28">
            <a:extLst>
              <a:ext uri="{FF2B5EF4-FFF2-40B4-BE49-F238E27FC236}">
                <a16:creationId xmlns:a16="http://schemas.microsoft.com/office/drawing/2014/main" id="{8505F97F-B182-496F-8172-C016E224A3AE}"/>
              </a:ext>
            </a:extLst>
          </xdr:cNvPr>
          <xdr:cNvSpPr/>
        </xdr:nvSpPr>
        <xdr:spPr>
          <a:xfrm>
            <a:off x="8039105" y="2121958"/>
            <a:ext cx="1647825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2A979C47-E9B2-4970-95E1-AEDE7CAF078E}" type="TxLink">
              <a:rPr lang="en-US" sz="2800" b="1" i="1" u="none" strike="noStrike">
                <a:solidFill>
                  <a:schemeClr val="accent1"/>
                </a:solidFill>
                <a:latin typeface="Calibri"/>
                <a:ea typeface="Calibri"/>
                <a:cs typeface="Calibri"/>
              </a:rPr>
              <a:pPr algn="r"/>
              <a:t> 99,737 </a:t>
            </a:fld>
            <a:endParaRPr lang="es-CO" sz="9600" b="1" i="1">
              <a:solidFill>
                <a:schemeClr val="accent1"/>
              </a:solidFill>
              <a:latin typeface="Century Gothic" panose="020B0502020202020204" pitchFamily="34" charset="0"/>
            </a:endParaRPr>
          </a:p>
        </xdr:txBody>
      </xdr:sp>
      <xdr:sp macro="" textlink="' '!K3">
        <xdr:nvSpPr>
          <xdr:cNvPr id="31" name="Rectángulo 30">
            <a:extLst>
              <a:ext uri="{FF2B5EF4-FFF2-40B4-BE49-F238E27FC236}">
                <a16:creationId xmlns:a16="http://schemas.microsoft.com/office/drawing/2014/main" id="{FE909285-D091-4406-8560-E3AB2504920B}"/>
              </a:ext>
            </a:extLst>
          </xdr:cNvPr>
          <xdr:cNvSpPr/>
        </xdr:nvSpPr>
        <xdr:spPr>
          <a:xfrm>
            <a:off x="8056035" y="1502833"/>
            <a:ext cx="1647825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642277F4-0E39-44C3-BBB6-A9C29A525C9A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Wisebot</a:t>
            </a:fld>
            <a:endParaRPr lang="en-US" sz="3600" b="1" i="0" u="none" strike="noStrike">
              <a:solidFill>
                <a:schemeClr val="tx1"/>
              </a:solidFill>
              <a:latin typeface="Calibri"/>
              <a:cs typeface="Calibri"/>
            </a:endParaRPr>
          </a:p>
        </xdr:txBody>
      </xdr:sp>
      <xdr:pic>
        <xdr:nvPicPr>
          <xdr:cNvPr id="33" name="Gráfico 32" descr="Robot con relleno sólido">
            <a:extLst>
              <a:ext uri="{FF2B5EF4-FFF2-40B4-BE49-F238E27FC236}">
                <a16:creationId xmlns:a16="http://schemas.microsoft.com/office/drawing/2014/main" id="{0BC34960-7ED2-4397-BF2B-60FFCA977D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20002" y="1672166"/>
            <a:ext cx="709084" cy="709084"/>
          </a:xfrm>
          <a:prstGeom prst="rect">
            <a:avLst/>
          </a:prstGeom>
        </xdr:spPr>
      </xdr:pic>
      <xdr:sp macro="" textlink="">
        <xdr:nvSpPr>
          <xdr:cNvPr id="35" name="Rectángulo 34">
            <a:extLst>
              <a:ext uri="{FF2B5EF4-FFF2-40B4-BE49-F238E27FC236}">
                <a16:creationId xmlns:a16="http://schemas.microsoft.com/office/drawing/2014/main" id="{77E53E43-FF95-4DFF-AC74-A590A3944B56}"/>
              </a:ext>
            </a:extLst>
          </xdr:cNvPr>
          <xdr:cNvSpPr/>
        </xdr:nvSpPr>
        <xdr:spPr>
          <a:xfrm>
            <a:off x="8273709" y="1756833"/>
            <a:ext cx="1406867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b="1" i="0" u="none" strike="noStrike">
                <a:solidFill>
                  <a:schemeClr val="bg2">
                    <a:lumMod val="75000"/>
                  </a:schemeClr>
                </a:solidFill>
                <a:latin typeface="Calibri"/>
                <a:cs typeface="Calibri"/>
              </a:rPr>
              <a:t>Total de Registros</a:t>
            </a:r>
          </a:p>
        </xdr:txBody>
      </xdr:sp>
    </xdr:grpSp>
    <xdr:clientData/>
  </xdr:twoCellAnchor>
  <xdr:twoCellAnchor>
    <xdr:from>
      <xdr:col>7</xdr:col>
      <xdr:colOff>1755321</xdr:colOff>
      <xdr:row>13</xdr:row>
      <xdr:rowOff>231695</xdr:rowOff>
    </xdr:from>
    <xdr:to>
      <xdr:col>15</xdr:col>
      <xdr:colOff>244929</xdr:colOff>
      <xdr:row>22</xdr:row>
      <xdr:rowOff>112255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7614207B-6EBB-44F4-A0E1-3BBB07F75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279512</xdr:colOff>
      <xdr:row>22</xdr:row>
      <xdr:rowOff>146463</xdr:rowOff>
    </xdr:from>
    <xdr:to>
      <xdr:col>7</xdr:col>
      <xdr:colOff>773906</xdr:colOff>
      <xdr:row>25</xdr:row>
      <xdr:rowOff>114715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D8937AFC-A186-4DA9-9743-DE35B6309728}"/>
            </a:ext>
          </a:extLst>
        </xdr:cNvPr>
        <xdr:cNvSpPr/>
      </xdr:nvSpPr>
      <xdr:spPr>
        <a:xfrm>
          <a:off x="470012" y="5123276"/>
          <a:ext cx="5590269" cy="5397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1" i="0" u="none" strike="noStrike">
              <a:solidFill>
                <a:schemeClr val="tx1"/>
              </a:solidFill>
              <a:latin typeface="Calibri"/>
              <a:cs typeface="Calibri"/>
            </a:rPr>
            <a:t>Segmentación de Interacciones - # de Registros</a:t>
          </a:r>
        </a:p>
      </xdr:txBody>
    </xdr:sp>
    <xdr:clientData/>
  </xdr:twoCellAnchor>
  <xdr:twoCellAnchor>
    <xdr:from>
      <xdr:col>0</xdr:col>
      <xdr:colOff>134938</xdr:colOff>
      <xdr:row>26</xdr:row>
      <xdr:rowOff>115661</xdr:rowOff>
    </xdr:from>
    <xdr:to>
      <xdr:col>15</xdr:col>
      <xdr:colOff>18521</xdr:colOff>
      <xdr:row>46</xdr:row>
      <xdr:rowOff>164043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6ACCD68D-1491-4B38-8425-A41915282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119063</xdr:colOff>
      <xdr:row>12</xdr:row>
      <xdr:rowOff>250030</xdr:rowOff>
    </xdr:from>
    <xdr:to>
      <xdr:col>15</xdr:col>
      <xdr:colOff>154781</xdr:colOff>
      <xdr:row>13</xdr:row>
      <xdr:rowOff>257588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BCDC9A14-67EF-43F8-B3DF-7785FA845122}"/>
            </a:ext>
          </a:extLst>
        </xdr:cNvPr>
        <xdr:cNvSpPr/>
      </xdr:nvSpPr>
      <xdr:spPr>
        <a:xfrm>
          <a:off x="9465469" y="2750343"/>
          <a:ext cx="3083718" cy="2933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400" b="1" i="0" u="none" strike="noStrike">
              <a:solidFill>
                <a:schemeClr val="tx1"/>
              </a:solidFill>
              <a:latin typeface="Calibri"/>
              <a:cs typeface="Calibri"/>
            </a:rPr>
            <a:t>Tiempo Facturable</a:t>
          </a:r>
          <a:r>
            <a:rPr lang="en-US" sz="1400" b="1" i="0" u="none" strike="noStrike" baseline="0">
              <a:solidFill>
                <a:schemeClr val="tx1"/>
              </a:solidFill>
              <a:latin typeface="Calibri"/>
              <a:cs typeface="Calibri"/>
            </a:rPr>
            <a:t> (minutos)</a:t>
          </a:r>
          <a:endParaRPr lang="en-US" sz="1400" b="1" i="0" u="none" strike="noStrike">
            <a:solidFill>
              <a:schemeClr val="tx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252755</xdr:colOff>
      <xdr:row>23</xdr:row>
      <xdr:rowOff>124775</xdr:rowOff>
    </xdr:from>
    <xdr:to>
      <xdr:col>14</xdr:col>
      <xdr:colOff>738188</xdr:colOff>
      <xdr:row>26</xdr:row>
      <xdr:rowOff>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4908774-B75A-4226-A67C-126F54939374}"/>
            </a:ext>
          </a:extLst>
        </xdr:cNvPr>
        <xdr:cNvGrpSpPr/>
      </xdr:nvGrpSpPr>
      <xdr:grpSpPr>
        <a:xfrm>
          <a:off x="9599161" y="5292088"/>
          <a:ext cx="2771433" cy="446726"/>
          <a:chOff x="9801566" y="1363024"/>
          <a:chExt cx="2771433" cy="577695"/>
        </a:xfrm>
      </xdr:grpSpPr>
      <xdr:sp macro="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190C455E-FFB7-4B9A-B9C5-9F20D8B2EDDC}"/>
              </a:ext>
            </a:extLst>
          </xdr:cNvPr>
          <xdr:cNvSpPr/>
        </xdr:nvSpPr>
        <xdr:spPr>
          <a:xfrm>
            <a:off x="9801566" y="1363024"/>
            <a:ext cx="2771433" cy="577695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' '!Z5">
        <xdr:nvSpPr>
          <xdr:cNvPr id="41" name="Rectángulo 40">
            <a:extLst>
              <a:ext uri="{FF2B5EF4-FFF2-40B4-BE49-F238E27FC236}">
                <a16:creationId xmlns:a16="http://schemas.microsoft.com/office/drawing/2014/main" id="{FE072698-67CA-42F7-9A6D-A6DC37B55C4D}"/>
              </a:ext>
            </a:extLst>
          </xdr:cNvPr>
          <xdr:cNvSpPr/>
        </xdr:nvSpPr>
        <xdr:spPr>
          <a:xfrm>
            <a:off x="10859638" y="1469328"/>
            <a:ext cx="1647825" cy="3576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2DC2B12A-FD82-4319-A2AA-99BF1065574F}" type="TxLink">
              <a:rPr lang="en-US" sz="2400" b="0" i="1" u="none" strike="noStrike">
                <a:solidFill>
                  <a:schemeClr val="accent1"/>
                </a:solidFill>
                <a:latin typeface="Calibri"/>
                <a:ea typeface="Calibri"/>
                <a:cs typeface="Calibri"/>
              </a:rPr>
              <a:pPr marL="0" indent="0" algn="r"/>
              <a:t> 3,777 </a:t>
            </a:fld>
            <a:endParaRPr lang="es-CO" sz="2400" b="0" i="1" u="none" strike="noStrike">
              <a:solidFill>
                <a:schemeClr val="accent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42" name="Rectángulo 41">
            <a:extLst>
              <a:ext uri="{FF2B5EF4-FFF2-40B4-BE49-F238E27FC236}">
                <a16:creationId xmlns:a16="http://schemas.microsoft.com/office/drawing/2014/main" id="{FDBF8599-F793-4288-82AD-076F1C2291F1}"/>
              </a:ext>
            </a:extLst>
          </xdr:cNvPr>
          <xdr:cNvSpPr/>
        </xdr:nvSpPr>
        <xdr:spPr>
          <a:xfrm>
            <a:off x="10328881" y="1476934"/>
            <a:ext cx="1160649" cy="3576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Minutos</a:t>
            </a:r>
          </a:p>
        </xdr:txBody>
      </xdr:sp>
      <xdr:pic>
        <xdr:nvPicPr>
          <xdr:cNvPr id="3" name="Gráfico 2" descr="Reloj de arena terminado con relleno sólido">
            <a:extLst>
              <a:ext uri="{FF2B5EF4-FFF2-40B4-BE49-F238E27FC236}">
                <a16:creationId xmlns:a16="http://schemas.microsoft.com/office/drawing/2014/main" id="{14081E87-AD2D-4A54-B1C5-CD139BA5A1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70283" y="1500189"/>
            <a:ext cx="309562" cy="309562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321810</xdr:colOff>
      <xdr:row>7</xdr:row>
      <xdr:rowOff>19984</xdr:rowOff>
    </xdr:from>
    <xdr:to>
      <xdr:col>15</xdr:col>
      <xdr:colOff>250031</xdr:colOff>
      <xdr:row>12</xdr:row>
      <xdr:rowOff>11906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C19F98F1-DB10-4A39-BABC-7AD1B1EF0D81}"/>
            </a:ext>
          </a:extLst>
        </xdr:cNvPr>
        <xdr:cNvGrpSpPr/>
      </xdr:nvGrpSpPr>
      <xdr:grpSpPr>
        <a:xfrm>
          <a:off x="9668216" y="1353484"/>
          <a:ext cx="2976221" cy="1158735"/>
          <a:chOff x="9668216" y="1353484"/>
          <a:chExt cx="2976221" cy="1158735"/>
        </a:xfrm>
      </xdr:grpSpPr>
      <xdr:sp macro="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028F899C-3A24-4148-943A-D2E74738BF8B}"/>
              </a:ext>
            </a:extLst>
          </xdr:cNvPr>
          <xdr:cNvSpPr/>
        </xdr:nvSpPr>
        <xdr:spPr>
          <a:xfrm>
            <a:off x="9668216" y="1404937"/>
            <a:ext cx="2809534" cy="1107282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' '!AE3">
        <xdr:nvSpPr>
          <xdr:cNvPr id="57" name="Rectángulo 56">
            <a:extLst>
              <a:ext uri="{FF2B5EF4-FFF2-40B4-BE49-F238E27FC236}">
                <a16:creationId xmlns:a16="http://schemas.microsoft.com/office/drawing/2014/main" id="{A91BCF15-C8B5-4DFC-BD20-49E91805D442}"/>
              </a:ext>
            </a:extLst>
          </xdr:cNvPr>
          <xdr:cNvSpPr/>
        </xdr:nvSpPr>
        <xdr:spPr>
          <a:xfrm>
            <a:off x="10179843" y="2109599"/>
            <a:ext cx="2170461" cy="3192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FCA2189B-FED3-403B-BC98-CD042F5CC5E0}" type="TxLink">
              <a:rPr lang="en-US" sz="1400" b="0" i="1" u="none" strike="noStrike">
                <a:solidFill>
                  <a:schemeClr val="bg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marL="0" indent="0" algn="r"/>
              <a:t>Max 50 segundos</a:t>
            </a:fld>
            <a:endParaRPr lang="es-CO" sz="1400" b="0" i="1" u="none" strike="noStrike">
              <a:solidFill>
                <a:schemeClr val="bg2">
                  <a:lumMod val="75000"/>
                </a:schemeClr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58" name="Rectángulo 57">
            <a:extLst>
              <a:ext uri="{FF2B5EF4-FFF2-40B4-BE49-F238E27FC236}">
                <a16:creationId xmlns:a16="http://schemas.microsoft.com/office/drawing/2014/main" id="{077C0980-C6C7-4792-AC9F-8805D3BD0159}"/>
              </a:ext>
            </a:extLst>
          </xdr:cNvPr>
          <xdr:cNvSpPr/>
        </xdr:nvSpPr>
        <xdr:spPr>
          <a:xfrm>
            <a:off x="9703594" y="1353484"/>
            <a:ext cx="2940843" cy="5157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4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Tiempo Promedio de Interacciones</a:t>
            </a:r>
          </a:p>
        </xdr:txBody>
      </xdr:sp>
      <xdr:sp macro="" textlink="' '!AD3">
        <xdr:nvSpPr>
          <xdr:cNvPr id="43" name="Rectángulo 42">
            <a:extLst>
              <a:ext uri="{FF2B5EF4-FFF2-40B4-BE49-F238E27FC236}">
                <a16:creationId xmlns:a16="http://schemas.microsoft.com/office/drawing/2014/main" id="{92ADD56A-D0E3-4107-A129-32775D7A1109}"/>
              </a:ext>
            </a:extLst>
          </xdr:cNvPr>
          <xdr:cNvSpPr/>
        </xdr:nvSpPr>
        <xdr:spPr>
          <a:xfrm>
            <a:off x="10322720" y="1782112"/>
            <a:ext cx="2071688" cy="3133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B31CE4E1-0A84-4715-8950-43C60FB12B66}" type="TxLink">
              <a:rPr lang="en-US" sz="2000" b="0" i="1" u="none" strike="noStrike">
                <a:solidFill>
                  <a:srgbClr val="E9094E"/>
                </a:solidFill>
                <a:latin typeface="Calibri"/>
                <a:ea typeface="Calibri"/>
                <a:cs typeface="Calibri"/>
              </a:rPr>
              <a:pPr marL="0" indent="0" algn="r"/>
              <a:t>26 segundos</a:t>
            </a:fld>
            <a:endParaRPr lang="es-CO" sz="2000" b="0" i="1" u="none" strike="noStrike">
              <a:solidFill>
                <a:srgbClr val="E9094E"/>
              </a:solidFill>
              <a:latin typeface="Calibri"/>
              <a:ea typeface="Calibri"/>
              <a:cs typeface="Calibri"/>
            </a:endParaRPr>
          </a:p>
        </xdr:txBody>
      </xdr:sp>
      <xdr:pic>
        <xdr:nvPicPr>
          <xdr:cNvPr id="20" name="Gráfico 19" descr="Tendencia al alza con relleno sólido">
            <a:extLst>
              <a:ext uri="{FF2B5EF4-FFF2-40B4-BE49-F238E27FC236}">
                <a16:creationId xmlns:a16="http://schemas.microsoft.com/office/drawing/2014/main" id="{258AFB13-435E-4924-99E7-E71D9BD55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9834562" y="1893093"/>
            <a:ext cx="511970" cy="48185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345252</xdr:colOff>
      <xdr:row>1</xdr:row>
      <xdr:rowOff>36255</xdr:rowOff>
    </xdr:from>
    <xdr:to>
      <xdr:col>26</xdr:col>
      <xdr:colOff>226890</xdr:colOff>
      <xdr:row>4</xdr:row>
      <xdr:rowOff>13843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B4FE06D-6E09-46EA-9FBE-1EFB39CB214B}"/>
            </a:ext>
          </a:extLst>
        </xdr:cNvPr>
        <xdr:cNvGrpSpPr/>
      </xdr:nvGrpSpPr>
      <xdr:grpSpPr>
        <a:xfrm>
          <a:off x="17041216" y="226755"/>
          <a:ext cx="2167638" cy="549088"/>
          <a:chOff x="1391331" y="1265309"/>
          <a:chExt cx="6252484" cy="1592579"/>
        </a:xfrm>
      </xdr:grpSpPr>
      <xdr:sp macro="" textlink="">
        <xdr:nvSpPr>
          <xdr:cNvPr id="3" name="Freeform 21">
            <a:extLst>
              <a:ext uri="{FF2B5EF4-FFF2-40B4-BE49-F238E27FC236}">
                <a16:creationId xmlns:a16="http://schemas.microsoft.com/office/drawing/2014/main" id="{505CB897-83BF-4F83-BB3D-656B611D3B89}"/>
              </a:ext>
            </a:extLst>
          </xdr:cNvPr>
          <xdr:cNvSpPr/>
        </xdr:nvSpPr>
        <xdr:spPr>
          <a:xfrm>
            <a:off x="1391331" y="1265309"/>
            <a:ext cx="1684327" cy="1592579"/>
          </a:xfrm>
          <a:custGeom>
            <a:avLst/>
            <a:gdLst/>
            <a:ahLst/>
            <a:cxnLst/>
            <a:rect l="l" t="t" r="r" b="b"/>
            <a:pathLst>
              <a:path w="1684327" h="1592579">
                <a:moveTo>
                  <a:pt x="0" y="0"/>
                </a:moveTo>
                <a:lnTo>
                  <a:pt x="1684328" y="0"/>
                </a:lnTo>
                <a:lnTo>
                  <a:pt x="1684328" y="1592579"/>
                </a:lnTo>
                <a:lnTo>
                  <a:pt x="0" y="159257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 l="-25074" r="-27423" b="-42755"/>
            </a:stretch>
          </a:blipFill>
        </xdr:spPr>
        <xdr:txBody>
          <a:bodyPr wrap="square"/>
          <a:lstStyle/>
          <a:p>
            <a:endParaRPr lang="es-CO"/>
          </a:p>
        </xdr:txBody>
      </xdr:sp>
      <xdr:sp macro="" textlink="">
        <xdr:nvSpPr>
          <xdr:cNvPr id="4" name="Freeform 22">
            <a:extLst>
              <a:ext uri="{FF2B5EF4-FFF2-40B4-BE49-F238E27FC236}">
                <a16:creationId xmlns:a16="http://schemas.microsoft.com/office/drawing/2014/main" id="{9ED2D3EC-DF20-4776-A626-D8EEB8824996}"/>
              </a:ext>
            </a:extLst>
          </xdr:cNvPr>
          <xdr:cNvSpPr/>
        </xdr:nvSpPr>
        <xdr:spPr>
          <a:xfrm>
            <a:off x="3154232" y="1713908"/>
            <a:ext cx="4489583" cy="1143980"/>
          </a:xfrm>
          <a:custGeom>
            <a:avLst/>
            <a:gdLst/>
            <a:ahLst/>
            <a:cxnLst/>
            <a:rect l="l" t="t" r="r" b="b"/>
            <a:pathLst>
              <a:path w="4489583" h="1143980">
                <a:moveTo>
                  <a:pt x="0" y="0"/>
                </a:moveTo>
                <a:lnTo>
                  <a:pt x="4489582" y="0"/>
                </a:lnTo>
                <a:lnTo>
                  <a:pt x="4489582" y="1143980"/>
                </a:lnTo>
                <a:lnTo>
                  <a:pt x="0" y="114398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 l="-9976" t="-295662" r="-10995" b="-24556"/>
            </a:stretch>
          </a:blipFill>
        </xdr:spPr>
        <xdr:txBody>
          <a:bodyPr wrap="square"/>
          <a:lstStyle/>
          <a:p>
            <a:endParaRPr lang="es-CO"/>
          </a:p>
        </xdr:txBody>
      </xdr:sp>
    </xdr:grpSp>
    <xdr:clientData/>
  </xdr:twoCellAnchor>
  <xdr:twoCellAnchor>
    <xdr:from>
      <xdr:col>0</xdr:col>
      <xdr:colOff>248976</xdr:colOff>
      <xdr:row>0</xdr:row>
      <xdr:rowOff>104775</xdr:rowOff>
    </xdr:from>
    <xdr:to>
      <xdr:col>9</xdr:col>
      <xdr:colOff>711997</xdr:colOff>
      <xdr:row>3</xdr:row>
      <xdr:rowOff>42182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B575B46-7C76-4B49-9EBE-34B1BCCD5FA6}"/>
            </a:ext>
          </a:extLst>
        </xdr:cNvPr>
        <xdr:cNvSpPr/>
      </xdr:nvSpPr>
      <xdr:spPr>
        <a:xfrm>
          <a:off x="248976" y="104775"/>
          <a:ext cx="6856677" cy="5089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2400" b="1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Consolidado Mensual</a:t>
          </a:r>
          <a:r>
            <a:rPr lang="en-US" sz="2400" b="1" baseline="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en-US" sz="2400" b="1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de BOTS</a:t>
          </a:r>
        </a:p>
      </xdr:txBody>
    </xdr:sp>
    <xdr:clientData/>
  </xdr:twoCellAnchor>
  <xdr:twoCellAnchor>
    <xdr:from>
      <xdr:col>0</xdr:col>
      <xdr:colOff>235747</xdr:colOff>
      <xdr:row>3</xdr:row>
      <xdr:rowOff>57151</xdr:rowOff>
    </xdr:from>
    <xdr:to>
      <xdr:col>8</xdr:col>
      <xdr:colOff>360101</xdr:colOff>
      <xdr:row>5</xdr:row>
      <xdr:rowOff>57149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88CCC8F0-AEF8-48BA-A486-E89B451DD9E5}"/>
            </a:ext>
          </a:extLst>
        </xdr:cNvPr>
        <xdr:cNvSpPr/>
      </xdr:nvSpPr>
      <xdr:spPr>
        <a:xfrm>
          <a:off x="235747" y="628651"/>
          <a:ext cx="5756010" cy="3809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Rendimiento</a:t>
          </a:r>
          <a:r>
            <a:rPr lang="en-US" sz="20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- Datos Comparativos</a:t>
          </a:r>
          <a:endParaRPr lang="es-CO" sz="24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574520</xdr:colOff>
      <xdr:row>0</xdr:row>
      <xdr:rowOff>27214</xdr:rowOff>
    </xdr:from>
    <xdr:to>
      <xdr:col>17</xdr:col>
      <xdr:colOff>149679</xdr:colOff>
      <xdr:row>5</xdr:row>
      <xdr:rowOff>131989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FECHA 1">
              <a:extLst>
                <a:ext uri="{FF2B5EF4-FFF2-40B4-BE49-F238E27FC236}">
                  <a16:creationId xmlns:a16="http://schemas.microsoft.com/office/drawing/2014/main" id="{9CAF94E0-8C1D-44E0-BC13-9B9B2F05C0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69877" y="27214"/>
              <a:ext cx="5671159" cy="105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16</xdr:col>
      <xdr:colOff>341689</xdr:colOff>
      <xdr:row>0</xdr:row>
      <xdr:rowOff>0</xdr:rowOff>
    </xdr:from>
    <xdr:to>
      <xdr:col>17</xdr:col>
      <xdr:colOff>289832</xdr:colOff>
      <xdr:row>2</xdr:row>
      <xdr:rowOff>94910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C686FA1A-7125-4582-BA17-EF7D3BF310B9}"/>
            </a:ext>
          </a:extLst>
        </xdr:cNvPr>
        <xdr:cNvSpPr/>
      </xdr:nvSpPr>
      <xdr:spPr>
        <a:xfrm>
          <a:off x="12071046" y="0"/>
          <a:ext cx="710143" cy="4759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t>📅</a:t>
          </a:r>
          <a:endParaRPr lang="en-US" sz="1800" i="0" u="none" strike="noStrike">
            <a:solidFill>
              <a:schemeClr val="bg2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108858</xdr:colOff>
      <xdr:row>48</xdr:row>
      <xdr:rowOff>68036</xdr:rowOff>
    </xdr:from>
    <xdr:to>
      <xdr:col>26</xdr:col>
      <xdr:colOff>258537</xdr:colOff>
      <xdr:row>73</xdr:row>
      <xdr:rowOff>176892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77D3299C-CFF1-4239-B3B9-807481AB6F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56822" y="9212036"/>
              <a:ext cx="5483679" cy="48713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11</xdr:col>
      <xdr:colOff>273841</xdr:colOff>
      <xdr:row>7</xdr:row>
      <xdr:rowOff>59531</xdr:rowOff>
    </xdr:from>
    <xdr:to>
      <xdr:col>15</xdr:col>
      <xdr:colOff>26191</xdr:colOff>
      <xdr:row>8</xdr:row>
      <xdr:rowOff>175947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E76D85B7-1B59-4340-A0FE-6CBF9C5BC60A}"/>
            </a:ext>
          </a:extLst>
        </xdr:cNvPr>
        <xdr:cNvSpPr/>
      </xdr:nvSpPr>
      <xdr:spPr>
        <a:xfrm>
          <a:off x="8191497" y="1393031"/>
          <a:ext cx="2800350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chemeClr val="tx1"/>
              </a:solidFill>
              <a:latin typeface="Century Gothic" panose="020B0502020202020204" pitchFamily="34" charset="0"/>
            </a:rPr>
            <a:t>CONTACTABILIDAD</a:t>
          </a:r>
        </a:p>
      </xdr:txBody>
    </xdr:sp>
    <xdr:clientData/>
  </xdr:twoCellAnchor>
  <xdr:twoCellAnchor>
    <xdr:from>
      <xdr:col>9</xdr:col>
      <xdr:colOff>428620</xdr:colOff>
      <xdr:row>8</xdr:row>
      <xdr:rowOff>166688</xdr:rowOff>
    </xdr:from>
    <xdr:to>
      <xdr:col>13</xdr:col>
      <xdr:colOff>92606</xdr:colOff>
      <xdr:row>24</xdr:row>
      <xdr:rowOff>166690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ECD2228-F301-46A5-8A4F-FF354C0DCCA7}"/>
            </a:ext>
          </a:extLst>
        </xdr:cNvPr>
        <xdr:cNvGrpSpPr/>
      </xdr:nvGrpSpPr>
      <xdr:grpSpPr>
        <a:xfrm>
          <a:off x="6823977" y="1690688"/>
          <a:ext cx="2711986" cy="3048002"/>
          <a:chOff x="7810496" y="1690688"/>
          <a:chExt cx="2711986" cy="3048002"/>
        </a:xfrm>
      </xdr:grpSpPr>
      <xdr:grpSp>
        <xdr:nvGrpSpPr>
          <xdr:cNvPr id="36" name="Grupo 35">
            <a:extLst>
              <a:ext uri="{FF2B5EF4-FFF2-40B4-BE49-F238E27FC236}">
                <a16:creationId xmlns:a16="http://schemas.microsoft.com/office/drawing/2014/main" id="{7FA3539A-DF3B-4BD4-842D-D8B0579071BB}"/>
              </a:ext>
            </a:extLst>
          </xdr:cNvPr>
          <xdr:cNvGrpSpPr/>
        </xdr:nvGrpSpPr>
        <xdr:grpSpPr>
          <a:xfrm>
            <a:off x="7810496" y="1690688"/>
            <a:ext cx="2711986" cy="3048002"/>
            <a:chOff x="7536656" y="1690688"/>
            <a:chExt cx="2711986" cy="3048002"/>
          </a:xfrm>
        </xdr:grpSpPr>
        <xdr:grpSp>
          <xdr:nvGrpSpPr>
            <xdr:cNvPr id="26" name="Grupo 25">
              <a:extLst>
                <a:ext uri="{FF2B5EF4-FFF2-40B4-BE49-F238E27FC236}">
                  <a16:creationId xmlns:a16="http://schemas.microsoft.com/office/drawing/2014/main" id="{D6BBFD27-A9D3-4A99-8823-3FD3262AA091}"/>
                </a:ext>
              </a:extLst>
            </xdr:cNvPr>
            <xdr:cNvGrpSpPr/>
          </xdr:nvGrpSpPr>
          <xdr:grpSpPr>
            <a:xfrm>
              <a:off x="7536656" y="1690688"/>
              <a:ext cx="2686050" cy="2743200"/>
              <a:chOff x="7596187" y="4333875"/>
              <a:chExt cx="2686050" cy="2743200"/>
            </a:xfrm>
          </xdr:grpSpPr>
          <xdr:graphicFrame macro="">
            <xdr:nvGraphicFramePr>
              <xdr:cNvPr id="23" name="Gráfico 22">
                <a:extLst>
                  <a:ext uri="{FF2B5EF4-FFF2-40B4-BE49-F238E27FC236}">
                    <a16:creationId xmlns:a16="http://schemas.microsoft.com/office/drawing/2014/main" id="{46120C50-C6B4-4EB9-968F-5FA8C3B01932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596187" y="4333875"/>
              <a:ext cx="2686050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24" name="Elipse 23">
                <a:extLst>
                  <a:ext uri="{FF2B5EF4-FFF2-40B4-BE49-F238E27FC236}">
                    <a16:creationId xmlns:a16="http://schemas.microsoft.com/office/drawing/2014/main" id="{8FDE7B89-630D-400D-8B8D-26EC88051BC2}"/>
                  </a:ext>
                </a:extLst>
              </xdr:cNvPr>
              <xdr:cNvSpPr/>
            </xdr:nvSpPr>
            <xdr:spPr>
              <a:xfrm>
                <a:off x="8429625" y="5167311"/>
                <a:ext cx="1035843" cy="1047751"/>
              </a:xfrm>
              <a:prstGeom prst="ellipse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O" sz="1100"/>
              </a:p>
            </xdr:txBody>
          </xdr:sp>
          <xdr:sp macro="" textlink="' '!AT3">
            <xdr:nvSpPr>
              <xdr:cNvPr id="25" name="Rectángulo 24">
                <a:extLst>
                  <a:ext uri="{FF2B5EF4-FFF2-40B4-BE49-F238E27FC236}">
                    <a16:creationId xmlns:a16="http://schemas.microsoft.com/office/drawing/2014/main" id="{7FBB454F-5438-4CFC-B9D3-44152849502D}"/>
                  </a:ext>
                </a:extLst>
              </xdr:cNvPr>
              <xdr:cNvSpPr/>
            </xdr:nvSpPr>
            <xdr:spPr>
              <a:xfrm>
                <a:off x="7899143" y="5337970"/>
                <a:ext cx="2162175" cy="37147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048C1B3F-7D4E-44EF-84A9-E8671CCDBFE5}" type="TxLink">
                  <a:rPr lang="en-US" sz="2800" b="1" i="0" u="none" strike="noStrike">
                    <a:solidFill>
                      <a:schemeClr val="bg1"/>
                    </a:solidFill>
                    <a:latin typeface="Calibri"/>
                    <a:ea typeface="Calibri"/>
                    <a:cs typeface="Calibri"/>
                  </a:rPr>
                  <a:pPr marL="0" indent="0" algn="ctr"/>
                  <a:t>60%</a:t>
                </a:fld>
                <a:endParaRPr lang="en-US" sz="28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xdr:grpSp>
        <xdr:sp macro="" textlink="">
          <xdr:nvSpPr>
            <xdr:cNvPr id="27" name="Rectángulo 26">
              <a:extLst>
                <a:ext uri="{FF2B5EF4-FFF2-40B4-BE49-F238E27FC236}">
                  <a16:creationId xmlns:a16="http://schemas.microsoft.com/office/drawing/2014/main" id="{7BD0FAAB-224A-4214-A9D2-4530A2DEAE43}"/>
                </a:ext>
              </a:extLst>
            </xdr:cNvPr>
            <xdr:cNvSpPr/>
          </xdr:nvSpPr>
          <xdr:spPr>
            <a:xfrm>
              <a:off x="7613393" y="4431774"/>
              <a:ext cx="2635249" cy="3069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200" b="1">
                  <a:solidFill>
                    <a:srgbClr val="002060"/>
                  </a:solidFill>
                  <a:latin typeface="Century Gothic" panose="020B0502020202020204" pitchFamily="34" charset="0"/>
                </a:rPr>
                <a:t>WISEBOT</a:t>
              </a:r>
            </a:p>
          </xdr:txBody>
        </xdr:sp>
      </xdr:grpSp>
      <xdr:sp macro="" textlink="' '!AW3">
        <xdr:nvSpPr>
          <xdr:cNvPr id="33" name="Rectángulo 32">
            <a:extLst>
              <a:ext uri="{FF2B5EF4-FFF2-40B4-BE49-F238E27FC236}">
                <a16:creationId xmlns:a16="http://schemas.microsoft.com/office/drawing/2014/main" id="{7148D58C-7146-4461-9290-B7DF971B3807}"/>
              </a:ext>
            </a:extLst>
          </xdr:cNvPr>
          <xdr:cNvSpPr/>
        </xdr:nvSpPr>
        <xdr:spPr>
          <a:xfrm>
            <a:off x="8072434" y="3059907"/>
            <a:ext cx="2162175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0E19F10-5222-407E-80FC-84CA59F1E2D9}" type="TxLink">
              <a:rPr lang="en-US" sz="1400" b="0" i="1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 293,493 </a:t>
            </a:fld>
            <a:endParaRPr lang="en-US" sz="3600" b="1" i="1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  <xdr:twoCellAnchor>
    <xdr:from>
      <xdr:col>13</xdr:col>
      <xdr:colOff>92870</xdr:colOff>
      <xdr:row>8</xdr:row>
      <xdr:rowOff>140495</xdr:rowOff>
    </xdr:from>
    <xdr:to>
      <xdr:col>16</xdr:col>
      <xdr:colOff>628128</xdr:colOff>
      <xdr:row>24</xdr:row>
      <xdr:rowOff>142877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C5AB2F4-0C1B-42D8-9B27-005B4BB699E7}"/>
            </a:ext>
          </a:extLst>
        </xdr:cNvPr>
        <xdr:cNvGrpSpPr/>
      </xdr:nvGrpSpPr>
      <xdr:grpSpPr>
        <a:xfrm>
          <a:off x="9536227" y="1664495"/>
          <a:ext cx="2821258" cy="3050382"/>
          <a:chOff x="10629900" y="1664495"/>
          <a:chExt cx="2821258" cy="3050382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B02030FA-67E0-492D-8E03-BC287EBF597E}"/>
              </a:ext>
            </a:extLst>
          </xdr:cNvPr>
          <xdr:cNvGrpSpPr/>
        </xdr:nvGrpSpPr>
        <xdr:grpSpPr>
          <a:xfrm>
            <a:off x="10629900" y="1664495"/>
            <a:ext cx="2821258" cy="3050382"/>
            <a:chOff x="10629900" y="1664495"/>
            <a:chExt cx="2821258" cy="3050382"/>
          </a:xfrm>
        </xdr:grpSpPr>
        <xdr:sp macro="" textlink="">
          <xdr:nvSpPr>
            <xdr:cNvPr id="28" name="Rectángulo 27">
              <a:extLst>
                <a:ext uri="{FF2B5EF4-FFF2-40B4-BE49-F238E27FC236}">
                  <a16:creationId xmlns:a16="http://schemas.microsoft.com/office/drawing/2014/main" id="{238891F5-7F96-4BFC-A26D-A96368C90AB5}"/>
                </a:ext>
              </a:extLst>
            </xdr:cNvPr>
            <xdr:cNvSpPr/>
          </xdr:nvSpPr>
          <xdr:spPr>
            <a:xfrm>
              <a:off x="10650808" y="4407961"/>
              <a:ext cx="2800350" cy="3069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CO" sz="1200" b="1">
                  <a:solidFill>
                    <a:srgbClr val="002060"/>
                  </a:solidFill>
                  <a:latin typeface="Century Gothic" panose="020B0502020202020204" pitchFamily="34" charset="0"/>
                </a:rPr>
                <a:t>SERVICEBOTS</a:t>
              </a:r>
            </a:p>
          </xdr:txBody>
        </xdr:sp>
        <xdr:grpSp>
          <xdr:nvGrpSpPr>
            <xdr:cNvPr id="34" name="Grupo 33">
              <a:extLst>
                <a:ext uri="{FF2B5EF4-FFF2-40B4-BE49-F238E27FC236}">
                  <a16:creationId xmlns:a16="http://schemas.microsoft.com/office/drawing/2014/main" id="{59C097C8-9484-44B5-9281-8CB7402D87A2}"/>
                </a:ext>
              </a:extLst>
            </xdr:cNvPr>
            <xdr:cNvGrpSpPr/>
          </xdr:nvGrpSpPr>
          <xdr:grpSpPr>
            <a:xfrm>
              <a:off x="10629900" y="1664495"/>
              <a:ext cx="2686050" cy="2743200"/>
              <a:chOff x="10629900" y="1664495"/>
              <a:chExt cx="2686050" cy="2743200"/>
            </a:xfrm>
          </xdr:grpSpPr>
          <xdr:grpSp>
            <xdr:nvGrpSpPr>
              <xdr:cNvPr id="30" name="Grupo 29">
                <a:extLst>
                  <a:ext uri="{FF2B5EF4-FFF2-40B4-BE49-F238E27FC236}">
                    <a16:creationId xmlns:a16="http://schemas.microsoft.com/office/drawing/2014/main" id="{58DD0CC7-BA64-407D-8359-936413E8FB92}"/>
                  </a:ext>
                </a:extLst>
              </xdr:cNvPr>
              <xdr:cNvGrpSpPr/>
            </xdr:nvGrpSpPr>
            <xdr:grpSpPr>
              <a:xfrm>
                <a:off x="10629900" y="1664495"/>
                <a:ext cx="2686050" cy="2743200"/>
                <a:chOff x="7596187" y="4333875"/>
                <a:chExt cx="2686050" cy="2743200"/>
              </a:xfrm>
            </xdr:grpSpPr>
            <xdr:graphicFrame macro="">
              <xdr:nvGraphicFramePr>
                <xdr:cNvPr id="31" name="Gráfico 30">
                  <a:extLst>
                    <a:ext uri="{FF2B5EF4-FFF2-40B4-BE49-F238E27FC236}">
                      <a16:creationId xmlns:a16="http://schemas.microsoft.com/office/drawing/2014/main" id="{9A49F69A-B166-4A04-B19C-17455D68CC2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596187" y="4333875"/>
                <a:ext cx="2686050" cy="274320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sp macro="" textlink="">
              <xdr:nvSpPr>
                <xdr:cNvPr id="32" name="Elipse 31">
                  <a:extLst>
                    <a:ext uri="{FF2B5EF4-FFF2-40B4-BE49-F238E27FC236}">
                      <a16:creationId xmlns:a16="http://schemas.microsoft.com/office/drawing/2014/main" id="{C2FED9BA-9AD1-4A09-9938-4E97DFC352DE}"/>
                    </a:ext>
                  </a:extLst>
                </xdr:cNvPr>
                <xdr:cNvSpPr/>
              </xdr:nvSpPr>
              <xdr:spPr>
                <a:xfrm>
                  <a:off x="8429625" y="5167311"/>
                  <a:ext cx="1035843" cy="1047751"/>
                </a:xfrm>
                <a:prstGeom prst="ellipse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/>
                </a:p>
              </xdr:txBody>
            </xdr:sp>
          </xdr:grpSp>
          <xdr:sp macro="" textlink="' '!AT9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5BB48A42-CFF0-4862-83F7-BA40EA7B5686}"/>
                  </a:ext>
                </a:extLst>
              </xdr:cNvPr>
              <xdr:cNvSpPr/>
            </xdr:nvSpPr>
            <xdr:spPr>
              <a:xfrm>
                <a:off x="10937881" y="2702722"/>
                <a:ext cx="2162175" cy="37147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19CE71ED-CDDC-4F97-A5B9-26ED5E9308D5}" type="TxLink">
                  <a:rPr lang="en-US" sz="2800" b="1" i="0" u="none" strike="noStrike">
                    <a:solidFill>
                      <a:schemeClr val="bg1"/>
                    </a:solidFill>
                    <a:latin typeface="Calibri"/>
                    <a:ea typeface="Calibri"/>
                    <a:cs typeface="Calibri"/>
                  </a:rPr>
                  <a:pPr marL="0" indent="0" algn="ctr"/>
                  <a:t>69%</a:t>
                </a:fld>
                <a:endParaRPr lang="en-US" sz="28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xdr:grpSp>
      </xdr:grpSp>
      <xdr:sp macro="" textlink="' '!AW9">
        <xdr:nvSpPr>
          <xdr:cNvPr id="37" name="Rectángulo 36">
            <a:extLst>
              <a:ext uri="{FF2B5EF4-FFF2-40B4-BE49-F238E27FC236}">
                <a16:creationId xmlns:a16="http://schemas.microsoft.com/office/drawing/2014/main" id="{D38B4D48-9082-48F4-AAA2-5C75F64E706D}"/>
              </a:ext>
            </a:extLst>
          </xdr:cNvPr>
          <xdr:cNvSpPr/>
        </xdr:nvSpPr>
        <xdr:spPr>
          <a:xfrm>
            <a:off x="10903740" y="3033713"/>
            <a:ext cx="2162175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2D522B2-5E99-4AA5-9E93-57595817C01A}" type="TxLink">
              <a:rPr lang="en-US" sz="1400" b="0" i="1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 201,463 </a:t>
            </a:fld>
            <a:endParaRPr lang="en-US" sz="1400" b="0" i="1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  <xdr:twoCellAnchor>
    <xdr:from>
      <xdr:col>8</xdr:col>
      <xdr:colOff>115817</xdr:colOff>
      <xdr:row>8</xdr:row>
      <xdr:rowOff>71436</xdr:rowOff>
    </xdr:from>
    <xdr:to>
      <xdr:col>9</xdr:col>
      <xdr:colOff>500064</xdr:colOff>
      <xdr:row>13</xdr:row>
      <xdr:rowOff>59529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8A86420E-2275-4990-BED8-D489B5AAF299}"/>
            </a:ext>
          </a:extLst>
        </xdr:cNvPr>
        <xdr:cNvGrpSpPr/>
      </xdr:nvGrpSpPr>
      <xdr:grpSpPr>
        <a:xfrm>
          <a:off x="5749174" y="1595436"/>
          <a:ext cx="1146247" cy="940593"/>
          <a:chOff x="277743" y="581025"/>
          <a:chExt cx="1146247" cy="940593"/>
        </a:xfrm>
      </xdr:grpSpPr>
      <xdr:sp macro="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E7BD305F-B6C4-48CD-92F4-1DF804D9981F}"/>
              </a:ext>
            </a:extLst>
          </xdr:cNvPr>
          <xdr:cNvSpPr/>
        </xdr:nvSpPr>
        <xdr:spPr>
          <a:xfrm>
            <a:off x="352425" y="581025"/>
            <a:ext cx="1071565" cy="940593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050"/>
          </a:p>
        </xdr:txBody>
      </xdr:sp>
      <xdr:sp macro="" textlink="' '!AJ3">
        <xdr:nvSpPr>
          <xdr:cNvPr id="43" name="Rectángulo 42">
            <a:extLst>
              <a:ext uri="{FF2B5EF4-FFF2-40B4-BE49-F238E27FC236}">
                <a16:creationId xmlns:a16="http://schemas.microsoft.com/office/drawing/2014/main" id="{DEFB2149-E84F-4DC1-B6DF-892E0F88B710}"/>
              </a:ext>
            </a:extLst>
          </xdr:cNvPr>
          <xdr:cNvSpPr/>
        </xdr:nvSpPr>
        <xdr:spPr>
          <a:xfrm>
            <a:off x="330995" y="664370"/>
            <a:ext cx="1069183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00C3183-8B68-4901-A003-7CAEEF56CD06}" type="TxLink">
              <a:rPr lang="en-US" sz="1800" b="1" i="0" u="none" strike="noStrike">
                <a:solidFill>
                  <a:srgbClr val="00B050"/>
                </a:solidFill>
                <a:latin typeface="Calibri"/>
                <a:ea typeface="Calibri"/>
                <a:cs typeface="Calibri"/>
              </a:rPr>
              <a:pPr algn="l"/>
              <a:t> 20,795 </a:t>
            </a:fld>
            <a:endParaRPr lang="es-CO" sz="11500" b="1">
              <a:solidFill>
                <a:srgbClr val="00B050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14BA4FA3-1F60-45EF-8627-A5403BD31D45}"/>
              </a:ext>
            </a:extLst>
          </xdr:cNvPr>
          <xdr:cNvSpPr/>
        </xdr:nvSpPr>
        <xdr:spPr>
          <a:xfrm>
            <a:off x="277743" y="1038874"/>
            <a:ext cx="1009648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 i="0" u="none" strike="noStrike">
                <a:solidFill>
                  <a:schemeClr val="tx1"/>
                </a:solidFill>
                <a:latin typeface="Calibri"/>
                <a:cs typeface="Calibri"/>
              </a:rPr>
              <a:t>Minutos</a:t>
            </a:r>
          </a:p>
        </xdr:txBody>
      </xdr:sp>
    </xdr:grpSp>
    <xdr:clientData/>
  </xdr:twoCellAnchor>
  <xdr:twoCellAnchor>
    <xdr:from>
      <xdr:col>16</xdr:col>
      <xdr:colOff>542035</xdr:colOff>
      <xdr:row>8</xdr:row>
      <xdr:rowOff>69055</xdr:rowOff>
    </xdr:from>
    <xdr:to>
      <xdr:col>18</xdr:col>
      <xdr:colOff>164282</xdr:colOff>
      <xdr:row>13</xdr:row>
      <xdr:rowOff>57148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893E13AE-A2E7-4CF9-B73F-628831DA0C0E}"/>
            </a:ext>
          </a:extLst>
        </xdr:cNvPr>
        <xdr:cNvGrpSpPr/>
      </xdr:nvGrpSpPr>
      <xdr:grpSpPr>
        <a:xfrm>
          <a:off x="12271392" y="1593055"/>
          <a:ext cx="1146247" cy="940593"/>
          <a:chOff x="277743" y="581025"/>
          <a:chExt cx="1146247" cy="940593"/>
        </a:xfrm>
      </xdr:grpSpPr>
      <xdr:sp macro="" textlink="">
        <xdr:nvSpPr>
          <xdr:cNvPr id="47" name="Rectángulo: esquinas redondeadas 46">
            <a:extLst>
              <a:ext uri="{FF2B5EF4-FFF2-40B4-BE49-F238E27FC236}">
                <a16:creationId xmlns:a16="http://schemas.microsoft.com/office/drawing/2014/main" id="{09E6A38B-9346-4859-A301-13E7D8EC126C}"/>
              </a:ext>
            </a:extLst>
          </xdr:cNvPr>
          <xdr:cNvSpPr/>
        </xdr:nvSpPr>
        <xdr:spPr>
          <a:xfrm>
            <a:off x="352425" y="581025"/>
            <a:ext cx="1071565" cy="940593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050"/>
          </a:p>
        </xdr:txBody>
      </xdr:sp>
      <xdr:sp macro="" textlink="' '!AJ2">
        <xdr:nvSpPr>
          <xdr:cNvPr id="48" name="Rectángulo 47">
            <a:extLst>
              <a:ext uri="{FF2B5EF4-FFF2-40B4-BE49-F238E27FC236}">
                <a16:creationId xmlns:a16="http://schemas.microsoft.com/office/drawing/2014/main" id="{9F3AF3FD-2843-4C77-8D63-1AFEBD8C11C6}"/>
              </a:ext>
            </a:extLst>
          </xdr:cNvPr>
          <xdr:cNvSpPr/>
        </xdr:nvSpPr>
        <xdr:spPr>
          <a:xfrm>
            <a:off x="330995" y="664370"/>
            <a:ext cx="1069183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F10FB81-81C4-4A0C-84E8-F157B3BED4F7}" type="TxLink">
              <a:rPr lang="en-US" sz="1800" b="1" i="0" u="none" strike="noStrike">
                <a:solidFill>
                  <a:schemeClr val="accent1"/>
                </a:solidFill>
                <a:latin typeface="Calibri"/>
                <a:ea typeface="Calibri"/>
                <a:cs typeface="Calibri"/>
              </a:rPr>
              <a:pPr algn="l"/>
              <a:t> 138,332 </a:t>
            </a:fld>
            <a:endParaRPr lang="es-CO" sz="28700" b="1">
              <a:solidFill>
                <a:schemeClr val="accent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9" name="Rectángulo 48">
            <a:extLst>
              <a:ext uri="{FF2B5EF4-FFF2-40B4-BE49-F238E27FC236}">
                <a16:creationId xmlns:a16="http://schemas.microsoft.com/office/drawing/2014/main" id="{BB169C09-5814-4F5E-AF52-F8FA75E9E414}"/>
              </a:ext>
            </a:extLst>
          </xdr:cNvPr>
          <xdr:cNvSpPr/>
        </xdr:nvSpPr>
        <xdr:spPr>
          <a:xfrm>
            <a:off x="277743" y="1056192"/>
            <a:ext cx="1009648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 i="0" u="none" strike="noStrike">
                <a:solidFill>
                  <a:schemeClr val="tx1"/>
                </a:solidFill>
                <a:latin typeface="Calibri"/>
                <a:cs typeface="Calibri"/>
              </a:rPr>
              <a:t>Minutos</a:t>
            </a:r>
          </a:p>
        </xdr:txBody>
      </xdr:sp>
    </xdr:grpSp>
    <xdr:clientData/>
  </xdr:twoCellAnchor>
  <xdr:twoCellAnchor>
    <xdr:from>
      <xdr:col>8</xdr:col>
      <xdr:colOff>188118</xdr:colOff>
      <xdr:row>14</xdr:row>
      <xdr:rowOff>140492</xdr:rowOff>
    </xdr:from>
    <xdr:to>
      <xdr:col>9</xdr:col>
      <xdr:colOff>497683</xdr:colOff>
      <xdr:row>20</xdr:row>
      <xdr:rowOff>35719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99D65180-0F06-4E03-956B-FE8F26118A9A}"/>
            </a:ext>
          </a:extLst>
        </xdr:cNvPr>
        <xdr:cNvGrpSpPr/>
      </xdr:nvGrpSpPr>
      <xdr:grpSpPr>
        <a:xfrm>
          <a:off x="5821475" y="2807492"/>
          <a:ext cx="1071565" cy="1038227"/>
          <a:chOff x="352425" y="581025"/>
          <a:chExt cx="1071565" cy="1038227"/>
        </a:xfrm>
      </xdr:grpSpPr>
      <xdr:sp macro="" textlink="">
        <xdr:nvSpPr>
          <xdr:cNvPr id="51" name="Rectángulo: esquinas redondeadas 50">
            <a:extLst>
              <a:ext uri="{FF2B5EF4-FFF2-40B4-BE49-F238E27FC236}">
                <a16:creationId xmlns:a16="http://schemas.microsoft.com/office/drawing/2014/main" id="{F66ACAEA-EE6E-4563-8845-802DBA6CA707}"/>
              </a:ext>
            </a:extLst>
          </xdr:cNvPr>
          <xdr:cNvSpPr/>
        </xdr:nvSpPr>
        <xdr:spPr>
          <a:xfrm>
            <a:off x="352425" y="581025"/>
            <a:ext cx="1071565" cy="1038227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050"/>
          </a:p>
        </xdr:txBody>
      </xdr:sp>
      <xdr:sp macro="" textlink="' '!BC2">
        <xdr:nvSpPr>
          <xdr:cNvPr id="52" name="Rectángulo 51">
            <a:extLst>
              <a:ext uri="{FF2B5EF4-FFF2-40B4-BE49-F238E27FC236}">
                <a16:creationId xmlns:a16="http://schemas.microsoft.com/office/drawing/2014/main" id="{CA47E6FB-4E61-4510-B60B-B93594C2D42E}"/>
              </a:ext>
            </a:extLst>
          </xdr:cNvPr>
          <xdr:cNvSpPr/>
        </xdr:nvSpPr>
        <xdr:spPr>
          <a:xfrm>
            <a:off x="485777" y="664370"/>
            <a:ext cx="914401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1B42B403-DC03-401E-A2FC-143FE6134EBF}" type="TxLink">
              <a:rPr lang="en-US" sz="1800" b="1" i="0" u="none" strike="noStrike">
                <a:solidFill>
                  <a:srgbClr val="00B050"/>
                </a:solidFill>
                <a:latin typeface="Calibri"/>
                <a:ea typeface="Calibri"/>
                <a:cs typeface="Calibri"/>
              </a:rPr>
              <a:pPr algn="l"/>
              <a:t>26 seg</a:t>
            </a:fld>
            <a:endParaRPr lang="es-CO" sz="23900" b="1">
              <a:solidFill>
                <a:srgbClr val="00B050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3" name="Rectángulo 52">
            <a:extLst>
              <a:ext uri="{FF2B5EF4-FFF2-40B4-BE49-F238E27FC236}">
                <a16:creationId xmlns:a16="http://schemas.microsoft.com/office/drawing/2014/main" id="{76969582-36A3-4610-8238-F996591E2B93}"/>
              </a:ext>
            </a:extLst>
          </xdr:cNvPr>
          <xdr:cNvSpPr/>
        </xdr:nvSpPr>
        <xdr:spPr>
          <a:xfrm>
            <a:off x="364333" y="1021556"/>
            <a:ext cx="1009648" cy="573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i="0" u="none" strike="noStrike">
                <a:solidFill>
                  <a:schemeClr val="tx1"/>
                </a:solidFill>
                <a:latin typeface="Calibri"/>
                <a:cs typeface="Calibri"/>
              </a:rPr>
              <a:t>Promedio</a:t>
            </a:r>
            <a:r>
              <a:rPr lang="en-US" sz="1100" b="1" i="0" u="none" strike="noStrike" baseline="0">
                <a:solidFill>
                  <a:schemeClr val="tx1"/>
                </a:solidFill>
                <a:latin typeface="Calibri"/>
                <a:cs typeface="Calibri"/>
              </a:rPr>
              <a:t> de Interacciones</a:t>
            </a:r>
            <a:endParaRPr lang="en-US" sz="1100" b="1" i="0" u="none" strike="noStrike">
              <a:solidFill>
                <a:schemeClr val="tx1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16</xdr:col>
      <xdr:colOff>614361</xdr:colOff>
      <xdr:row>14</xdr:row>
      <xdr:rowOff>138111</xdr:rowOff>
    </xdr:from>
    <xdr:to>
      <xdr:col>18</xdr:col>
      <xdr:colOff>161926</xdr:colOff>
      <xdr:row>20</xdr:row>
      <xdr:rowOff>33338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99B541C9-8E33-4F43-8E58-E937032C7C69}"/>
            </a:ext>
          </a:extLst>
        </xdr:cNvPr>
        <xdr:cNvGrpSpPr/>
      </xdr:nvGrpSpPr>
      <xdr:grpSpPr>
        <a:xfrm>
          <a:off x="12343718" y="2805111"/>
          <a:ext cx="1071565" cy="1038227"/>
          <a:chOff x="352425" y="581025"/>
          <a:chExt cx="1071565" cy="1038227"/>
        </a:xfrm>
      </xdr:grpSpPr>
      <xdr:sp macro="" textlink="">
        <xdr:nvSpPr>
          <xdr:cNvPr id="55" name="Rectángulo: esquinas redondeadas 54">
            <a:extLst>
              <a:ext uri="{FF2B5EF4-FFF2-40B4-BE49-F238E27FC236}">
                <a16:creationId xmlns:a16="http://schemas.microsoft.com/office/drawing/2014/main" id="{5BD0D8C0-7741-4764-A6B7-64ED6EE6DD17}"/>
              </a:ext>
            </a:extLst>
          </xdr:cNvPr>
          <xdr:cNvSpPr/>
        </xdr:nvSpPr>
        <xdr:spPr>
          <a:xfrm>
            <a:off x="352425" y="581025"/>
            <a:ext cx="1071565" cy="1038227"/>
          </a:xfrm>
          <a:prstGeom prst="roundRect">
            <a:avLst>
              <a:gd name="adj" fmla="val 5807"/>
            </a:avLst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050"/>
          </a:p>
        </xdr:txBody>
      </xdr:sp>
      <xdr:sp macro="" textlink="' '!AZ2">
        <xdr:nvSpPr>
          <xdr:cNvPr id="56" name="Rectángulo 55">
            <a:extLst>
              <a:ext uri="{FF2B5EF4-FFF2-40B4-BE49-F238E27FC236}">
                <a16:creationId xmlns:a16="http://schemas.microsoft.com/office/drawing/2014/main" id="{3AA33D52-A4AF-4A5E-86A2-26961F36D674}"/>
              </a:ext>
            </a:extLst>
          </xdr:cNvPr>
          <xdr:cNvSpPr/>
        </xdr:nvSpPr>
        <xdr:spPr>
          <a:xfrm>
            <a:off x="500064" y="664370"/>
            <a:ext cx="900114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533BECE-8A7A-49E9-A7AC-1886D2E78D89}" type="TxLink">
              <a:rPr lang="en-US" sz="1800" b="1" i="0" u="none" strike="noStrike">
                <a:solidFill>
                  <a:schemeClr val="accent1"/>
                </a:solidFill>
                <a:latin typeface="Calibri"/>
                <a:ea typeface="Calibri"/>
                <a:cs typeface="Calibri"/>
              </a:rPr>
              <a:pPr algn="l"/>
              <a:t>49 seg</a:t>
            </a:fld>
            <a:endParaRPr lang="es-CO" sz="23900" b="1">
              <a:solidFill>
                <a:schemeClr val="accent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7" name="Rectángulo 56">
            <a:extLst>
              <a:ext uri="{FF2B5EF4-FFF2-40B4-BE49-F238E27FC236}">
                <a16:creationId xmlns:a16="http://schemas.microsoft.com/office/drawing/2014/main" id="{793F820B-DDDB-45F2-A216-7AEDBAD7ED21}"/>
              </a:ext>
            </a:extLst>
          </xdr:cNvPr>
          <xdr:cNvSpPr/>
        </xdr:nvSpPr>
        <xdr:spPr>
          <a:xfrm>
            <a:off x="364333" y="1021556"/>
            <a:ext cx="1009648" cy="573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i="0" u="none" strike="noStrike">
                <a:solidFill>
                  <a:schemeClr val="tx1"/>
                </a:solidFill>
                <a:latin typeface="Calibri"/>
                <a:cs typeface="Calibri"/>
              </a:rPr>
              <a:t>Promedio</a:t>
            </a:r>
            <a:r>
              <a:rPr lang="en-US" sz="1100" b="1" i="0" u="none" strike="noStrike" baseline="0">
                <a:solidFill>
                  <a:schemeClr val="tx1"/>
                </a:solidFill>
                <a:latin typeface="Calibri"/>
                <a:cs typeface="Calibri"/>
              </a:rPr>
              <a:t> de Interacciones</a:t>
            </a:r>
            <a:endParaRPr lang="en-US" sz="1100" b="1" i="0" u="none" strike="noStrike">
              <a:solidFill>
                <a:schemeClr val="tx1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13</xdr:col>
      <xdr:colOff>250031</xdr:colOff>
      <xdr:row>21</xdr:row>
      <xdr:rowOff>142878</xdr:rowOff>
    </xdr:from>
    <xdr:to>
      <xdr:col>18</xdr:col>
      <xdr:colOff>140493</xdr:colOff>
      <xdr:row>36</xdr:row>
      <xdr:rowOff>28578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3324A2B4-37EB-4A2A-99B2-39B268C6DC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130968</xdr:colOff>
      <xdr:row>21</xdr:row>
      <xdr:rowOff>138115</xdr:rowOff>
    </xdr:from>
    <xdr:to>
      <xdr:col>13</xdr:col>
      <xdr:colOff>202405</xdr:colOff>
      <xdr:row>36</xdr:row>
      <xdr:rowOff>23815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82E3ED24-23FF-496A-ABFB-38015DA47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172405</xdr:colOff>
      <xdr:row>37</xdr:row>
      <xdr:rowOff>129267</xdr:rowOff>
    </xdr:from>
    <xdr:to>
      <xdr:col>18</xdr:col>
      <xdr:colOff>381000</xdr:colOff>
      <xdr:row>78</xdr:row>
      <xdr:rowOff>51022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4A28AC42-E42C-4A70-BE87-B0E0AF460C81}"/>
            </a:ext>
          </a:extLst>
        </xdr:cNvPr>
        <xdr:cNvGrpSpPr/>
      </xdr:nvGrpSpPr>
      <xdr:grpSpPr>
        <a:xfrm>
          <a:off x="471762" y="7177767"/>
          <a:ext cx="13162595" cy="7732255"/>
          <a:chOff x="189417" y="7198178"/>
          <a:chExt cx="13146201" cy="7732255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61" name="Gráfico 60">
                <a:extLst>
                  <a:ext uri="{FF2B5EF4-FFF2-40B4-BE49-F238E27FC236}">
                    <a16:creationId xmlns:a16="http://schemas.microsoft.com/office/drawing/2014/main" id="{6A25680D-C6D1-4D2E-9396-AA3B77182F7C}"/>
                  </a:ext>
                </a:extLst>
              </xdr:cNvPr>
              <xdr:cNvGraphicFramePr/>
            </xdr:nvGraphicFramePr>
            <xdr:xfrm>
              <a:off x="189417" y="7608090"/>
              <a:ext cx="13146201" cy="732234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7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9417" y="7608090"/>
                <a:ext cx="13146201" cy="732234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Este gráfico no está disponible en su versión de Excel.
Si edita esta forma o guarda el libro en un formato de archivo diferente, el gráfico no se podrá utilizar.</a:t>
                </a:r>
              </a:p>
            </xdr:txBody>
          </xdr:sp>
        </mc:Fallback>
      </mc:AlternateContent>
      <xdr:sp macro="" textlink="">
        <xdr:nvSpPr>
          <xdr:cNvPr id="64" name="Rectángulo 63">
            <a:extLst>
              <a:ext uri="{FF2B5EF4-FFF2-40B4-BE49-F238E27FC236}">
                <a16:creationId xmlns:a16="http://schemas.microsoft.com/office/drawing/2014/main" id="{B2065349-8AC5-41A9-B590-DAC4B5985497}"/>
              </a:ext>
            </a:extLst>
          </xdr:cNvPr>
          <xdr:cNvSpPr/>
        </xdr:nvSpPr>
        <xdr:spPr>
          <a:xfrm>
            <a:off x="316675" y="7239000"/>
            <a:ext cx="7827818" cy="2770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1600" b="1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rPr>
              <a:t>Distribución Reordenada de Interacciones por Subtipología</a:t>
            </a:r>
          </a:p>
        </xdr:txBody>
      </xdr:sp>
      <xdr:pic>
        <xdr:nvPicPr>
          <xdr:cNvPr id="16" name="Gráfico 15" descr="Reseña de cliente con relleno sólido">
            <a:extLst>
              <a:ext uri="{FF2B5EF4-FFF2-40B4-BE49-F238E27FC236}">
                <a16:creationId xmlns:a16="http://schemas.microsoft.com/office/drawing/2014/main" id="{CC871DE7-AD0E-4196-A4BD-C6131339E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397895" y="7198178"/>
            <a:ext cx="357330" cy="38100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217714</xdr:colOff>
      <xdr:row>22</xdr:row>
      <xdr:rowOff>125170</xdr:rowOff>
    </xdr:from>
    <xdr:to>
      <xdr:col>26</xdr:col>
      <xdr:colOff>190500</xdr:colOff>
      <xdr:row>38</xdr:row>
      <xdr:rowOff>190485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B7AF0E54-9102-4A28-B004-F32D0F72F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21</xdr:row>
      <xdr:rowOff>122450</xdr:rowOff>
    </xdr:from>
    <xdr:to>
      <xdr:col>8</xdr:col>
      <xdr:colOff>164768</xdr:colOff>
      <xdr:row>37</xdr:row>
      <xdr:rowOff>95235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DD15FBFE-5F8D-430B-93A3-9024B3351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555644</xdr:colOff>
      <xdr:row>21</xdr:row>
      <xdr:rowOff>164291</xdr:rowOff>
    </xdr:from>
    <xdr:to>
      <xdr:col>26</xdr:col>
      <xdr:colOff>100827</xdr:colOff>
      <xdr:row>23</xdr:row>
      <xdr:rowOff>154766</xdr:rowOff>
    </xdr:to>
    <xdr:sp macro="" textlink="' '!BR3">
      <xdr:nvSpPr>
        <xdr:cNvPr id="63" name="Rectángulo 62">
          <a:extLst>
            <a:ext uri="{FF2B5EF4-FFF2-40B4-BE49-F238E27FC236}">
              <a16:creationId xmlns:a16="http://schemas.microsoft.com/office/drawing/2014/main" id="{30AB8DE1-84B8-47C6-8BA4-B2D3E50BBABE}"/>
            </a:ext>
          </a:extLst>
        </xdr:cNvPr>
        <xdr:cNvSpPr/>
      </xdr:nvSpPr>
      <xdr:spPr>
        <a:xfrm>
          <a:off x="18013608" y="4164791"/>
          <a:ext cx="1069183" cy="371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C6793B08-C251-4ED1-AFE2-E9EED031534C}" type="TxLink">
            <a:rPr lang="en-US" sz="1800" b="1" i="0" u="none" strike="noStrike">
              <a:solidFill>
                <a:schemeClr val="accent1"/>
              </a:solidFill>
              <a:latin typeface="Calibri"/>
              <a:ea typeface="Calibri"/>
              <a:cs typeface="Calibri"/>
            </a:rPr>
            <a:pPr marL="0" indent="0" algn="r"/>
            <a:t> 31,444 </a:t>
          </a:fld>
          <a:endParaRPr lang="es-CO" sz="1800" b="1" i="0" u="none" strike="noStrike">
            <a:solidFill>
              <a:schemeClr val="accent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136544</xdr:colOff>
      <xdr:row>20</xdr:row>
      <xdr:rowOff>3726</xdr:rowOff>
    </xdr:from>
    <xdr:to>
      <xdr:col>2</xdr:col>
      <xdr:colOff>144370</xdr:colOff>
      <xdr:row>21</xdr:row>
      <xdr:rowOff>184701</xdr:rowOff>
    </xdr:to>
    <xdr:sp macro="" textlink="' '!BR4">
      <xdr:nvSpPr>
        <xdr:cNvPr id="65" name="Rectángulo 64">
          <a:extLst>
            <a:ext uri="{FF2B5EF4-FFF2-40B4-BE49-F238E27FC236}">
              <a16:creationId xmlns:a16="http://schemas.microsoft.com/office/drawing/2014/main" id="{EF1CB738-5B70-49A8-A1C9-3A80C0DF77E4}"/>
            </a:ext>
          </a:extLst>
        </xdr:cNvPr>
        <xdr:cNvSpPr/>
      </xdr:nvSpPr>
      <xdr:spPr>
        <a:xfrm>
          <a:off x="136544" y="3813726"/>
          <a:ext cx="1069183" cy="371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F6BAF8DE-F793-4E19-A666-F78EBAE8746B}" type="TxLink">
            <a:rPr lang="en-US" sz="18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marL="0" indent="0" algn="l"/>
            <a:t> 15,953 </a:t>
          </a:fld>
          <a:endParaRPr lang="es-CO" sz="18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24</xdr:col>
      <xdr:colOff>585579</xdr:colOff>
      <xdr:row>23</xdr:row>
      <xdr:rowOff>44548</xdr:rowOff>
    </xdr:from>
    <xdr:to>
      <xdr:col>26</xdr:col>
      <xdr:colOff>130762</xdr:colOff>
      <xdr:row>25</xdr:row>
      <xdr:rowOff>35023</xdr:rowOff>
    </xdr:to>
    <xdr:sp macro="" textlink="' '!BS3">
      <xdr:nvSpPr>
        <xdr:cNvPr id="66" name="Rectángulo 65">
          <a:extLst>
            <a:ext uri="{FF2B5EF4-FFF2-40B4-BE49-F238E27FC236}">
              <a16:creationId xmlns:a16="http://schemas.microsoft.com/office/drawing/2014/main" id="{DA389185-B456-4B6F-ABC5-0308AD5363CC}"/>
            </a:ext>
          </a:extLst>
        </xdr:cNvPr>
        <xdr:cNvSpPr/>
      </xdr:nvSpPr>
      <xdr:spPr>
        <a:xfrm>
          <a:off x="18043543" y="4426048"/>
          <a:ext cx="1069183" cy="371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C2B9513A-3C75-47FF-BE3C-2805E5FCB7BB}" type="TxLink">
            <a:rPr lang="en-US" sz="1800" b="1" i="0" u="none" strike="noStrike">
              <a:solidFill>
                <a:schemeClr val="accent1"/>
              </a:solidFill>
              <a:latin typeface="Calibri"/>
              <a:ea typeface="Calibri"/>
              <a:cs typeface="Calibri"/>
            </a:rPr>
            <a:pPr marL="0" indent="0" algn="r"/>
            <a:t>10.77%</a:t>
          </a:fld>
          <a:endParaRPr lang="es-CO" sz="1800" b="1" i="0" u="none" strike="noStrike">
            <a:solidFill>
              <a:schemeClr val="accent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207300</xdr:colOff>
      <xdr:row>21</xdr:row>
      <xdr:rowOff>88090</xdr:rowOff>
    </xdr:from>
    <xdr:to>
      <xdr:col>2</xdr:col>
      <xdr:colOff>215126</xdr:colOff>
      <xdr:row>23</xdr:row>
      <xdr:rowOff>78565</xdr:rowOff>
    </xdr:to>
    <xdr:sp macro="" textlink="' '!BS4">
      <xdr:nvSpPr>
        <xdr:cNvPr id="67" name="Rectángulo 66">
          <a:extLst>
            <a:ext uri="{FF2B5EF4-FFF2-40B4-BE49-F238E27FC236}">
              <a16:creationId xmlns:a16="http://schemas.microsoft.com/office/drawing/2014/main" id="{C604A140-05F7-4353-B402-5A3D9D269489}"/>
            </a:ext>
          </a:extLst>
        </xdr:cNvPr>
        <xdr:cNvSpPr/>
      </xdr:nvSpPr>
      <xdr:spPr>
        <a:xfrm>
          <a:off x="207300" y="4088590"/>
          <a:ext cx="1069183" cy="371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5ABB78BF-247B-45CC-9589-249C622769D2}" type="TxLink">
            <a:rPr lang="en-US" sz="18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pPr marL="0" indent="0" algn="l"/>
            <a:t>3.25%</a:t>
          </a:fld>
          <a:endParaRPr lang="es-CO" sz="18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217714</xdr:colOff>
      <xdr:row>7</xdr:row>
      <xdr:rowOff>70758</xdr:rowOff>
    </xdr:from>
    <xdr:to>
      <xdr:col>7</xdr:col>
      <xdr:colOff>476251</xdr:colOff>
      <xdr:row>18</xdr:row>
      <xdr:rowOff>27215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26072C87-CF06-438E-81BB-AA5615C28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268059</xdr:colOff>
      <xdr:row>7</xdr:row>
      <xdr:rowOff>54429</xdr:rowOff>
    </xdr:from>
    <xdr:to>
      <xdr:col>26</xdr:col>
      <xdr:colOff>122464</xdr:colOff>
      <xdr:row>20</xdr:row>
      <xdr:rowOff>149679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3816CA64-1EAC-44F0-BAAD-07B0944C6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353786</xdr:colOff>
      <xdr:row>41</xdr:row>
      <xdr:rowOff>183694</xdr:rowOff>
    </xdr:from>
    <xdr:to>
      <xdr:col>25</xdr:col>
      <xdr:colOff>598716</xdr:colOff>
      <xdr:row>44</xdr:row>
      <xdr:rowOff>122463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D1EFB1A2-4B98-400E-9C3E-9E76143C9E28}"/>
            </a:ext>
          </a:extLst>
        </xdr:cNvPr>
        <xdr:cNvSpPr/>
      </xdr:nvSpPr>
      <xdr:spPr>
        <a:xfrm>
          <a:off x="14001750" y="7994194"/>
          <a:ext cx="4816930" cy="5102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Métricas de Registro</a:t>
          </a:r>
        </a:p>
      </xdr:txBody>
    </xdr:sp>
    <xdr:clientData/>
  </xdr:twoCellAnchor>
  <xdr:twoCellAnchor>
    <xdr:from>
      <xdr:col>19</xdr:col>
      <xdr:colOff>340179</xdr:colOff>
      <xdr:row>44</xdr:row>
      <xdr:rowOff>59873</xdr:rowOff>
    </xdr:from>
    <xdr:to>
      <xdr:col>26</xdr:col>
      <xdr:colOff>22644</xdr:colOff>
      <xdr:row>46</xdr:row>
      <xdr:rowOff>59871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4DE333F2-A616-44C8-99B4-F524C902A3D0}"/>
            </a:ext>
          </a:extLst>
        </xdr:cNvPr>
        <xdr:cNvSpPr/>
      </xdr:nvSpPr>
      <xdr:spPr>
        <a:xfrm>
          <a:off x="13988143" y="8441873"/>
          <a:ext cx="5016465" cy="3809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Cuantificación de Participación</a:t>
          </a:r>
          <a:r>
            <a:rPr lang="en-US" sz="18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de BOTS</a:t>
          </a:r>
          <a:endParaRPr lang="es-CO" sz="2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4N D4V1D" refreshedDate="45396.845851736114" createdVersion="7" refreshedVersion="7" minRefreshableVersion="3" recordCount="235" xr:uid="{24A05064-5894-4846-8AF2-DFAB0C5DEF83}">
  <cacheSource type="worksheet">
    <worksheetSource name="Tabla1"/>
  </cacheSource>
  <cacheFields count="10">
    <cacheField name="FECHA" numFmtId="168">
      <sharedItems containsSemiMixedTypes="0" containsNonDate="0" containsDate="1" containsString="0" minDate="2024-03-04T00:00:00" maxDate="2024-11-04T00:00:00" count="21">
        <d v="2024-03-04T00:00:00"/>
        <d v="2024-03-05T00:00:00"/>
        <d v="2024-03-06T00:00:00"/>
        <d v="2024-03-07T00:00:00"/>
        <d v="2024-03-12T00:00:00"/>
        <d v="2024-03-13T00:00:00"/>
        <d v="2024-03-14T00:00:00"/>
        <d v="2024-03-15T00:00:00"/>
        <d v="2024-03-16T00:00:00"/>
        <d v="2024-03-18T00:00:00"/>
        <d v="2024-03-19T00:00:00"/>
        <d v="2024-03-20T00:00:00"/>
        <d v="2024-03-21T00:00:00"/>
        <d v="2024-03-22T00:00:00"/>
        <d v="2024-03-09T00:00:00"/>
        <d v="2024-03-10T00:00:00"/>
        <d v="2024-03-11T00:00:00"/>
        <d v="2024-03-24T00:00:00"/>
        <d v="2024-03-27T00:00:00"/>
        <d v="2024-03-28T00:00:00"/>
        <d v="2024-11-03T00:00:00" u="1"/>
      </sharedItems>
    </cacheField>
    <cacheField name="BOT" numFmtId="166">
      <sharedItems count="2">
        <s v="Servicebots"/>
        <s v="Wisebot"/>
      </sharedItems>
    </cacheField>
    <cacheField name="Subtipología" numFmtId="0">
      <sharedItems count="24">
        <s v="CONFIRMA CONOCER AL TITULAR"/>
        <s v="CONFIRMA NO CONOCER AL TITULAR"/>
        <s v="NA"/>
        <s v="USUARIO CUELGA"/>
        <s v="USUARIO DESEA PAGAR EN FECHA INVALIDA"/>
        <s v="USUARIO INDICA QUE YA PAGO"/>
        <s v="USUARIO NO PUEDE REALIZAR PAGO"/>
        <s v="USUARIO NO TITULAR"/>
        <s v="USUARIO PREGUNTA RAZON DE LLAMADA"/>
        <s v="USUARIO PUEDE REALIZAR PAGO"/>
        <s v="USUARIO TITULAR"/>
        <s v="APRENDIZAJE"/>
        <s v="COLGO"/>
        <s v="CONTESTADORA"/>
        <s v="CORTE_LLAMADO"/>
        <s v="DE_PARTE_DE"/>
        <s v="EQUIVOCADO"/>
        <s v="FUERA_SERVICIO"/>
        <s v="MOLESTO"/>
        <s v="NO_CONTESTA"/>
        <s v="TERCERO"/>
        <s v="TITULAR"/>
        <s v="VOLVER_LLAMAR"/>
        <s v="FUERA_DE_SERVICIO"/>
      </sharedItems>
    </cacheField>
    <cacheField name="Cantidad" numFmtId="167">
      <sharedItems containsSemiMixedTypes="0" containsString="0" containsNumber="1" containsInteger="1" minValue="1" maxValue="47008"/>
    </cacheField>
    <cacheField name="Minutos" numFmtId="167">
      <sharedItems containsString="0" containsBlank="1" containsNumber="1" minValue="0" maxValue="24762"/>
    </cacheField>
    <cacheField name="Promedio Segundos" numFmtId="167">
      <sharedItems containsString="0" containsBlank="1" containsNumber="1" minValue="2.9305993690851735" maxValue="64.872340425531917" count="216">
        <n v="41.172413793103445"/>
        <n v="40.258064516129032"/>
        <m/>
        <n v="28.291511771995044"/>
        <n v="61.869565217391305"/>
        <n v="50.207999999999998"/>
        <n v="64.229885057471265"/>
        <n v="33.200000000000003"/>
        <n v="54.8"/>
        <n v="61.953667953667953"/>
        <n v="48.64"/>
        <n v="41.617486338797811"/>
        <n v="38.845360824742265"/>
        <n v="26.805464233080151"/>
        <n v="60.932203389830505"/>
        <n v="50.610993657505283"/>
        <n v="62.055555555555557"/>
        <n v="36.488188976377955"/>
        <n v="49.617647058823529"/>
        <n v="61.641025641025642"/>
        <n v="47.356275303643727"/>
        <n v="40.791277258566979"/>
        <n v="37.486607142857146"/>
        <n v="25.974937539038102"/>
        <n v="63.82692307692308"/>
        <n v="50.897435897435898"/>
        <n v="60.99688958009331"/>
        <n v="35.668810289389064"/>
        <n v="48.692307692307693"/>
        <n v="62.716363636363639"/>
        <n v="47.247011952191237"/>
        <n v="40.881818181818183"/>
        <n v="37.993827160493829"/>
        <n v="27.997918029861399"/>
        <n v="61.516129032258064"/>
        <n v="48.952380952380949"/>
        <n v="61.556650246305416"/>
        <n v="38.774193548387096"/>
        <n v="54.6875"/>
        <n v="61.849557522123895"/>
        <n v="50.829861111111114"/>
        <n v="43.282608695652172"/>
        <n v="39.655021834061138"/>
        <n v="28.321570766293974"/>
        <n v="62.46"/>
        <n v="51.146341463414636"/>
        <n v="63.047619047619051"/>
        <n v="42.120418848167539"/>
        <n v="54.153846153846153"/>
        <n v="63.189189189189186"/>
        <n v="55.706349206349209"/>
        <n v="43.177777777777777"/>
        <n v="41.387096774193552"/>
        <n v="26.684130982367758"/>
        <n v="61.84375"/>
        <n v="49.510526315789477"/>
        <n v="61.602112676056336"/>
        <n v="48.213740458015266"/>
        <n v="61.421052631578945"/>
        <n v="62.827235772357724"/>
        <n v="58.081669691470054"/>
        <n v="42.932835820895519"/>
        <n v="39.1875"/>
        <n v="28.925387320596901"/>
        <n v="62.115384615384613"/>
        <n v="51.412556053811656"/>
        <n v="63.281818181818181"/>
        <n v="43.819672131147541"/>
        <n v="57.36"/>
        <n v="62.503472222222221"/>
        <n v="56.060679611650485"/>
        <n v="42.173913043478258"/>
        <n v="37.794520547945204"/>
        <n v="29.112105588781191"/>
        <n v="63.171428571428571"/>
        <n v="50.882575757575758"/>
        <n v="64.448979591836732"/>
        <n v="38.511627906976742"/>
        <n v="50.157894736842103"/>
        <n v="61.963099630996311"/>
        <n v="50.50112866817156"/>
        <n v="41.25"/>
        <n v="41.166666666666664"/>
        <n v="29.113570254205136"/>
        <n v="59.176470588235297"/>
        <n v="47.941176470588232"/>
        <n v="64.872340425531917"/>
        <n v="37.820512820512818"/>
        <n v="50.4"/>
        <n v="63.409638554216869"/>
        <n v="55.43292682926829"/>
        <n v="41.638297872340424"/>
        <n v="38.920529801324506"/>
        <n v="28.912596006144394"/>
        <n v="59.4"/>
        <n v="50.794736842105266"/>
        <n v="63.248275862068965"/>
        <n v="39.901162790697676"/>
        <n v="45.548387096774192"/>
        <n v="61.633507853403138"/>
        <n v="49.5781512605042"/>
        <n v="41.907849829351534"/>
        <n v="39.037854889589909"/>
        <n v="32.260427263479144"/>
        <n v="64.575757575757578"/>
        <n v="51.60878243512974"/>
        <n v="63.721153846153847"/>
        <n v="51.240437158469945"/>
        <n v="57.218181818181819"/>
        <n v="63.426666666666669"/>
        <n v="59.212011577424022"/>
        <n v="41.646739130434781"/>
        <n v="38.168350168350166"/>
        <n v="21.762421103738468"/>
        <n v="62.928571428571431"/>
        <n v="49.109311740890689"/>
        <n v="60.193069306930695"/>
        <n v="33.625592417061611"/>
        <n v="51.621621621621621"/>
        <n v="61.044210526315787"/>
        <n v="45.575949367088604"/>
        <n v="41.10696517412935"/>
        <n v="38.797468354430379"/>
        <n v="18.519888793840888"/>
        <n v="63.21897810218978"/>
        <n v="50.611814345991561"/>
        <n v="61.886128364389236"/>
        <n v="35.382428940568474"/>
        <n v="41.796875"/>
        <n v="61.859477124183009"/>
        <n v="45.30833333333333"/>
        <n v="41.967889908256879"/>
        <n v="38.479310344827589"/>
        <n v="22.894333060556466"/>
        <n v="63.912500000000001"/>
        <n v="49.32421875"/>
        <n v="61.220735785953174"/>
        <n v="40.029166666666669"/>
        <n v="48.288888888888891"/>
        <n v="61.315789473684212"/>
        <n v="50.064516129032256"/>
        <n v="28.713043478260868"/>
        <n v="31.550286607608129"/>
        <n v="4.4322194199243379"/>
        <n v="12.37407195888064"/>
        <n v="29.689655172413794"/>
        <n v="31.139585605234462"/>
        <n v="23.5"/>
        <n v="3.3019662921348316"/>
        <n v="27.119230769230768"/>
        <n v="49.52752880921895"/>
        <n v="20.083333333333332"/>
        <n v="29.25531914893617"/>
        <n v="31.088259783513738"/>
        <n v="5.5778235142783634"/>
        <n v="11.779294653014789"/>
        <n v="31.670454545454547"/>
        <n v="31.018867924528301"/>
        <n v="19"/>
        <n v="3.6822916666666665"/>
        <n v="26.357894736842105"/>
        <n v="48.496350364963504"/>
        <n v="19.8"/>
        <n v="29.574675324675326"/>
        <n v="32.116474291710389"/>
        <n v="4.1643117171592525"/>
        <n v="11.570961718020541"/>
        <n v="31.934497816593886"/>
        <n v="31.192238267148014"/>
        <n v="23"/>
        <n v="3.4290748898678416"/>
        <n v="27.053872053872055"/>
        <n v="50.918978912319645"/>
        <n v="25.666666666666668"/>
        <n v="29.976897689768975"/>
        <n v="31.024585125998772"/>
        <n v="3.7432203096318362"/>
        <n v="11.570133587786259"/>
        <n v="31.377880184331797"/>
        <n v="30.71153846153846"/>
        <n v="22"/>
        <n v="3.3923205342237064"/>
        <n v="26.85823754789272"/>
        <n v="49.214642262895175"/>
        <n v="17.714285714285715"/>
        <n v="26.162790697674417"/>
        <n v="30.794188861985472"/>
        <n v="3.092202184404369"/>
        <n v="11.883529411764705"/>
        <n v="31.215686274509803"/>
        <n v="29.878184713375795"/>
        <n v="2.9305993690851735"/>
        <n v="26.62857142857143"/>
        <n v="50.126984126984127"/>
        <n v="30.194366197183097"/>
        <n v="31.191858273652468"/>
        <n v="4.3558967201674808"/>
        <n v="12.485153037916858"/>
        <n v="31.022727272727273"/>
        <n v="30.900411522633746"/>
        <n v="21.5"/>
        <n v="3.7561779242174631"/>
        <n v="26.807280513918631"/>
        <n v="49.555687909469924"/>
        <n v="19.954545454545453"/>
        <n v="31.286231884057973"/>
        <n v="32.409365558912384"/>
        <n v="4.9292066138668886"/>
        <n v="12.000548546352167"/>
        <n v="33.137755102040813"/>
        <n v="31.389570552147241"/>
        <n v="23.571428571428573"/>
        <n v="3.5630676084762865"/>
        <n v="26.676691729323309"/>
        <n v="49.851826326671258"/>
        <n v="20.727272727272727"/>
      </sharedItems>
    </cacheField>
    <cacheField name="Tipificación" numFmtId="167">
      <sharedItems count="6">
        <s v="CONTESTADA EFECTIVA"/>
        <s v="ERROR"/>
        <s v="CONTESTA SIN RESPUESTA"/>
        <s v="CONTESTADA PARCIAL"/>
        <s v="NO CONTESTA" u="1"/>
        <s v="Wisebots" u="1"/>
      </sharedItems>
    </cacheField>
    <cacheField name="Contactabilidad" numFmtId="0">
      <sharedItems count="2">
        <s v="EFECTIVO"/>
        <s v="NO EFECTIVO"/>
      </sharedItems>
    </cacheField>
    <cacheField name="FILTER_1" numFmtId="0">
      <sharedItems/>
    </cacheField>
    <cacheField name="Interacción" numFmtId="0">
      <sharedItems count="2">
        <s v="EFECTIVA"/>
        <s v="NO EFECTIVA"/>
      </sharedItems>
    </cacheField>
  </cacheFields>
  <extLst>
    <ext xmlns:x14="http://schemas.microsoft.com/office/spreadsheetml/2009/9/main" uri="{725AE2AE-9491-48be-B2B4-4EB974FC3084}">
      <x14:pivotCacheDefinition pivotCacheId="51803165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">
  <r>
    <x v="0"/>
    <x v="0"/>
    <x v="0"/>
    <n v="58"/>
    <n v="58"/>
    <x v="0"/>
    <x v="0"/>
    <x v="0"/>
    <s v="CONTES"/>
    <x v="0"/>
  </r>
  <r>
    <x v="0"/>
    <x v="0"/>
    <x v="1"/>
    <n v="31"/>
    <n v="30"/>
    <x v="1"/>
    <x v="0"/>
    <x v="0"/>
    <s v="CONTES"/>
    <x v="0"/>
  </r>
  <r>
    <x v="0"/>
    <x v="0"/>
    <x v="2"/>
    <n v="939"/>
    <m/>
    <x v="2"/>
    <x v="1"/>
    <x v="1"/>
    <s v="ERROR"/>
    <x v="1"/>
  </r>
  <r>
    <x v="0"/>
    <x v="0"/>
    <x v="3"/>
    <n v="3228"/>
    <n v="2102"/>
    <x v="3"/>
    <x v="2"/>
    <x v="0"/>
    <s v="CONTES"/>
    <x v="1"/>
  </r>
  <r>
    <x v="0"/>
    <x v="0"/>
    <x v="4"/>
    <n v="23"/>
    <n v="25"/>
    <x v="4"/>
    <x v="0"/>
    <x v="0"/>
    <s v="CONTES"/>
    <x v="0"/>
  </r>
  <r>
    <x v="0"/>
    <x v="0"/>
    <x v="5"/>
    <n v="125"/>
    <n v="128"/>
    <x v="5"/>
    <x v="0"/>
    <x v="0"/>
    <s v="CONTES"/>
    <x v="0"/>
  </r>
  <r>
    <x v="0"/>
    <x v="0"/>
    <x v="6"/>
    <n v="87"/>
    <n v="103"/>
    <x v="6"/>
    <x v="0"/>
    <x v="0"/>
    <s v="CONTES"/>
    <x v="0"/>
  </r>
  <r>
    <x v="0"/>
    <x v="0"/>
    <x v="7"/>
    <n v="35"/>
    <n v="12"/>
    <x v="7"/>
    <x v="3"/>
    <x v="0"/>
    <s v="CONTES"/>
    <x v="0"/>
  </r>
  <r>
    <x v="0"/>
    <x v="0"/>
    <x v="8"/>
    <n v="10"/>
    <n v="12"/>
    <x v="8"/>
    <x v="3"/>
    <x v="0"/>
    <s v="CONTES"/>
    <x v="0"/>
  </r>
  <r>
    <x v="0"/>
    <x v="0"/>
    <x v="9"/>
    <n v="259"/>
    <n v="289"/>
    <x v="9"/>
    <x v="0"/>
    <x v="0"/>
    <s v="CONTES"/>
    <x v="0"/>
  </r>
  <r>
    <x v="0"/>
    <x v="0"/>
    <x v="10"/>
    <n v="225"/>
    <n v="205"/>
    <x v="10"/>
    <x v="3"/>
    <x v="0"/>
    <s v="CONTES"/>
    <x v="0"/>
  </r>
  <r>
    <x v="1"/>
    <x v="0"/>
    <x v="0"/>
    <n v="183"/>
    <n v="180"/>
    <x v="11"/>
    <x v="0"/>
    <x v="0"/>
    <s v="CONTES"/>
    <x v="0"/>
  </r>
  <r>
    <x v="1"/>
    <x v="0"/>
    <x v="1"/>
    <n v="97"/>
    <n v="85"/>
    <x v="12"/>
    <x v="0"/>
    <x v="0"/>
    <s v="CONTES"/>
    <x v="0"/>
  </r>
  <r>
    <x v="1"/>
    <x v="0"/>
    <x v="2"/>
    <n v="259"/>
    <m/>
    <x v="2"/>
    <x v="1"/>
    <x v="1"/>
    <s v="ERROR"/>
    <x v="1"/>
  </r>
  <r>
    <x v="1"/>
    <x v="0"/>
    <x v="3"/>
    <n v="8821"/>
    <n v="5115"/>
    <x v="13"/>
    <x v="2"/>
    <x v="0"/>
    <s v="CONTES"/>
    <x v="1"/>
  </r>
  <r>
    <x v="1"/>
    <x v="0"/>
    <x v="4"/>
    <n v="59"/>
    <n v="63"/>
    <x v="14"/>
    <x v="0"/>
    <x v="0"/>
    <s v="CONTES"/>
    <x v="0"/>
  </r>
  <r>
    <x v="1"/>
    <x v="0"/>
    <x v="5"/>
    <n v="473"/>
    <n v="488"/>
    <x v="15"/>
    <x v="0"/>
    <x v="0"/>
    <s v="CONTES"/>
    <x v="0"/>
  </r>
  <r>
    <x v="1"/>
    <x v="0"/>
    <x v="6"/>
    <n v="270"/>
    <n v="302"/>
    <x v="16"/>
    <x v="0"/>
    <x v="0"/>
    <s v="CONTES"/>
    <x v="0"/>
  </r>
  <r>
    <x v="1"/>
    <x v="0"/>
    <x v="7"/>
    <n v="127"/>
    <n v="72"/>
    <x v="17"/>
    <x v="3"/>
    <x v="0"/>
    <s v="CONTES"/>
    <x v="0"/>
  </r>
  <r>
    <x v="1"/>
    <x v="0"/>
    <x v="8"/>
    <n v="34"/>
    <n v="31"/>
    <x v="18"/>
    <x v="3"/>
    <x v="0"/>
    <s v="CONTES"/>
    <x v="0"/>
  </r>
  <r>
    <x v="1"/>
    <x v="0"/>
    <x v="9"/>
    <n v="546"/>
    <n v="607"/>
    <x v="19"/>
    <x v="0"/>
    <x v="0"/>
    <s v="CONTES"/>
    <x v="0"/>
  </r>
  <r>
    <x v="1"/>
    <x v="0"/>
    <x v="10"/>
    <n v="741"/>
    <n v="674"/>
    <x v="20"/>
    <x v="3"/>
    <x v="0"/>
    <s v="CONTES"/>
    <x v="0"/>
  </r>
  <r>
    <x v="2"/>
    <x v="0"/>
    <x v="0"/>
    <n v="321"/>
    <n v="314"/>
    <x v="21"/>
    <x v="0"/>
    <x v="0"/>
    <s v="CONTES"/>
    <x v="0"/>
  </r>
  <r>
    <x v="2"/>
    <x v="0"/>
    <x v="1"/>
    <n v="448"/>
    <n v="379"/>
    <x v="22"/>
    <x v="0"/>
    <x v="0"/>
    <s v="CONTES"/>
    <x v="0"/>
  </r>
  <r>
    <x v="2"/>
    <x v="0"/>
    <x v="3"/>
    <n v="12808"/>
    <n v="6926"/>
    <x v="23"/>
    <x v="2"/>
    <x v="0"/>
    <s v="CONTES"/>
    <x v="1"/>
  </r>
  <r>
    <x v="2"/>
    <x v="0"/>
    <x v="4"/>
    <n v="52"/>
    <n v="61"/>
    <x v="24"/>
    <x v="0"/>
    <x v="0"/>
    <s v="CONTES"/>
    <x v="0"/>
  </r>
  <r>
    <x v="2"/>
    <x v="0"/>
    <x v="5"/>
    <n v="117"/>
    <n v="119"/>
    <x v="25"/>
    <x v="0"/>
    <x v="0"/>
    <s v="CONTES"/>
    <x v="0"/>
  </r>
  <r>
    <x v="2"/>
    <x v="0"/>
    <x v="6"/>
    <n v="643"/>
    <n v="718"/>
    <x v="26"/>
    <x v="0"/>
    <x v="0"/>
    <s v="CONTES"/>
    <x v="0"/>
  </r>
  <r>
    <x v="2"/>
    <x v="0"/>
    <x v="7"/>
    <n v="311"/>
    <n v="169"/>
    <x v="27"/>
    <x v="3"/>
    <x v="0"/>
    <s v="CONTES"/>
    <x v="0"/>
  </r>
  <r>
    <x v="2"/>
    <x v="0"/>
    <x v="8"/>
    <n v="26"/>
    <n v="22"/>
    <x v="28"/>
    <x v="3"/>
    <x v="0"/>
    <s v="CONTES"/>
    <x v="0"/>
  </r>
  <r>
    <x v="2"/>
    <x v="0"/>
    <x v="9"/>
    <n v="275"/>
    <n v="312"/>
    <x v="29"/>
    <x v="0"/>
    <x v="0"/>
    <s v="CONTES"/>
    <x v="0"/>
  </r>
  <r>
    <x v="2"/>
    <x v="0"/>
    <x v="10"/>
    <n v="753"/>
    <n v="682"/>
    <x v="30"/>
    <x v="3"/>
    <x v="0"/>
    <s v="CONTES"/>
    <x v="0"/>
  </r>
  <r>
    <x v="3"/>
    <x v="0"/>
    <x v="0"/>
    <n v="110"/>
    <n v="110"/>
    <x v="31"/>
    <x v="0"/>
    <x v="0"/>
    <s v="CONTES"/>
    <x v="0"/>
  </r>
  <r>
    <x v="3"/>
    <x v="0"/>
    <x v="1"/>
    <n v="162"/>
    <n v="146"/>
    <x v="32"/>
    <x v="0"/>
    <x v="0"/>
    <s v="CONTES"/>
    <x v="0"/>
  </r>
  <r>
    <x v="3"/>
    <x v="0"/>
    <x v="3"/>
    <n v="33622"/>
    <n v="24762"/>
    <x v="33"/>
    <x v="2"/>
    <x v="0"/>
    <s v="CONTES"/>
    <x v="1"/>
  </r>
  <r>
    <x v="3"/>
    <x v="0"/>
    <x v="4"/>
    <n v="31"/>
    <n v="36"/>
    <x v="34"/>
    <x v="0"/>
    <x v="0"/>
    <s v="CONTES"/>
    <x v="0"/>
  </r>
  <r>
    <x v="3"/>
    <x v="0"/>
    <x v="5"/>
    <n v="21"/>
    <n v="21"/>
    <x v="35"/>
    <x v="0"/>
    <x v="0"/>
    <s v="CONTES"/>
    <x v="0"/>
  </r>
  <r>
    <x v="3"/>
    <x v="0"/>
    <x v="6"/>
    <n v="203"/>
    <n v="228"/>
    <x v="36"/>
    <x v="0"/>
    <x v="0"/>
    <s v="CONTES"/>
    <x v="0"/>
  </r>
  <r>
    <x v="3"/>
    <x v="0"/>
    <x v="7"/>
    <n v="124"/>
    <n v="84"/>
    <x v="37"/>
    <x v="3"/>
    <x v="0"/>
    <s v="CONTES"/>
    <x v="0"/>
  </r>
  <r>
    <x v="3"/>
    <x v="0"/>
    <x v="8"/>
    <n v="16"/>
    <n v="15"/>
    <x v="38"/>
    <x v="3"/>
    <x v="0"/>
    <s v="CONTES"/>
    <x v="0"/>
  </r>
  <r>
    <x v="3"/>
    <x v="0"/>
    <x v="9"/>
    <n v="113"/>
    <n v="127"/>
    <x v="39"/>
    <x v="0"/>
    <x v="0"/>
    <s v="CONTES"/>
    <x v="0"/>
  </r>
  <r>
    <x v="3"/>
    <x v="0"/>
    <x v="10"/>
    <n v="288"/>
    <n v="295"/>
    <x v="40"/>
    <x v="3"/>
    <x v="0"/>
    <s v="CONTES"/>
    <x v="0"/>
  </r>
  <r>
    <x v="4"/>
    <x v="0"/>
    <x v="0"/>
    <n v="138"/>
    <n v="138"/>
    <x v="41"/>
    <x v="0"/>
    <x v="0"/>
    <s v="CONTES"/>
    <x v="0"/>
  </r>
  <r>
    <x v="4"/>
    <x v="0"/>
    <x v="1"/>
    <n v="229"/>
    <n v="213"/>
    <x v="42"/>
    <x v="0"/>
    <x v="0"/>
    <s v="CONTES"/>
    <x v="0"/>
  </r>
  <r>
    <x v="4"/>
    <x v="0"/>
    <x v="2"/>
    <n v="4252"/>
    <m/>
    <x v="2"/>
    <x v="1"/>
    <x v="1"/>
    <s v="ERROR"/>
    <x v="1"/>
  </r>
  <r>
    <x v="4"/>
    <x v="0"/>
    <x v="3"/>
    <n v="18335"/>
    <n v="12868"/>
    <x v="43"/>
    <x v="2"/>
    <x v="0"/>
    <s v="CONTES"/>
    <x v="1"/>
  </r>
  <r>
    <x v="4"/>
    <x v="0"/>
    <x v="4"/>
    <n v="50"/>
    <n v="53"/>
    <x v="44"/>
    <x v="0"/>
    <x v="0"/>
    <s v="CONTES"/>
    <x v="0"/>
  </r>
  <r>
    <x v="4"/>
    <x v="0"/>
    <x v="5"/>
    <n v="164"/>
    <n v="173"/>
    <x v="45"/>
    <x v="0"/>
    <x v="0"/>
    <s v="CONTES"/>
    <x v="0"/>
  </r>
  <r>
    <x v="4"/>
    <x v="0"/>
    <x v="6"/>
    <n v="252"/>
    <n v="293"/>
    <x v="46"/>
    <x v="0"/>
    <x v="0"/>
    <s v="CONTES"/>
    <x v="0"/>
  </r>
  <r>
    <x v="4"/>
    <x v="0"/>
    <x v="7"/>
    <n v="191"/>
    <n v="132"/>
    <x v="47"/>
    <x v="3"/>
    <x v="0"/>
    <s v="CONTES"/>
    <x v="0"/>
  </r>
  <r>
    <x v="4"/>
    <x v="0"/>
    <x v="8"/>
    <n v="26"/>
    <n v="25"/>
    <x v="48"/>
    <x v="3"/>
    <x v="0"/>
    <s v="CONTES"/>
    <x v="0"/>
  </r>
  <r>
    <x v="4"/>
    <x v="0"/>
    <x v="9"/>
    <n v="222"/>
    <n v="253"/>
    <x v="49"/>
    <x v="0"/>
    <x v="0"/>
    <s v="CONTES"/>
    <x v="0"/>
  </r>
  <r>
    <x v="4"/>
    <x v="0"/>
    <x v="10"/>
    <n v="504"/>
    <n v="567"/>
    <x v="50"/>
    <x v="3"/>
    <x v="0"/>
    <s v="CONTES"/>
    <x v="0"/>
  </r>
  <r>
    <x v="5"/>
    <x v="0"/>
    <x v="0"/>
    <n v="135"/>
    <n v="136"/>
    <x v="51"/>
    <x v="0"/>
    <x v="0"/>
    <s v="CONTES"/>
    <x v="0"/>
  </r>
  <r>
    <x v="5"/>
    <x v="0"/>
    <x v="1"/>
    <n v="62"/>
    <n v="59"/>
    <x v="52"/>
    <x v="0"/>
    <x v="0"/>
    <s v="CONTES"/>
    <x v="0"/>
  </r>
  <r>
    <x v="5"/>
    <x v="0"/>
    <x v="2"/>
    <n v="2197"/>
    <m/>
    <x v="2"/>
    <x v="1"/>
    <x v="1"/>
    <s v="ERROR"/>
    <x v="1"/>
  </r>
  <r>
    <x v="5"/>
    <x v="0"/>
    <x v="3"/>
    <n v="3970"/>
    <n v="1679"/>
    <x v="53"/>
    <x v="2"/>
    <x v="0"/>
    <s v="CONTES"/>
    <x v="1"/>
  </r>
  <r>
    <x v="5"/>
    <x v="0"/>
    <x v="4"/>
    <n v="96"/>
    <n v="108"/>
    <x v="54"/>
    <x v="0"/>
    <x v="0"/>
    <s v="CONTES"/>
    <x v="0"/>
  </r>
  <r>
    <x v="5"/>
    <x v="0"/>
    <x v="5"/>
    <n v="190"/>
    <n v="194"/>
    <x v="55"/>
    <x v="0"/>
    <x v="0"/>
    <s v="CONTES"/>
    <x v="0"/>
  </r>
  <r>
    <x v="5"/>
    <x v="0"/>
    <x v="6"/>
    <n v="284"/>
    <n v="314"/>
    <x v="56"/>
    <x v="0"/>
    <x v="0"/>
    <s v="CONTES"/>
    <x v="0"/>
  </r>
  <r>
    <x v="5"/>
    <x v="0"/>
    <x v="7"/>
    <n v="131"/>
    <n v="114"/>
    <x v="57"/>
    <x v="3"/>
    <x v="0"/>
    <s v="CONTES"/>
    <x v="0"/>
  </r>
  <r>
    <x v="5"/>
    <x v="0"/>
    <x v="8"/>
    <n v="19"/>
    <n v="19"/>
    <x v="58"/>
    <x v="3"/>
    <x v="0"/>
    <s v="CONTES"/>
    <x v="0"/>
  </r>
  <r>
    <x v="5"/>
    <x v="0"/>
    <x v="9"/>
    <n v="492"/>
    <n v="560"/>
    <x v="59"/>
    <x v="0"/>
    <x v="0"/>
    <s v="CONTES"/>
    <x v="0"/>
  </r>
  <r>
    <x v="5"/>
    <x v="0"/>
    <x v="10"/>
    <n v="551"/>
    <n v="636"/>
    <x v="60"/>
    <x v="3"/>
    <x v="0"/>
    <s v="CONTES"/>
    <x v="0"/>
  </r>
  <r>
    <x v="6"/>
    <x v="0"/>
    <x v="0"/>
    <n v="134"/>
    <n v="136"/>
    <x v="61"/>
    <x v="0"/>
    <x v="0"/>
    <s v="CONTES"/>
    <x v="0"/>
  </r>
  <r>
    <x v="6"/>
    <x v="0"/>
    <x v="1"/>
    <n v="96"/>
    <n v="89"/>
    <x v="62"/>
    <x v="0"/>
    <x v="0"/>
    <s v="CONTES"/>
    <x v="0"/>
  </r>
  <r>
    <x v="6"/>
    <x v="0"/>
    <x v="2"/>
    <n v="3946"/>
    <m/>
    <x v="2"/>
    <x v="1"/>
    <x v="1"/>
    <s v="ERROR"/>
    <x v="1"/>
  </r>
  <r>
    <x v="6"/>
    <x v="0"/>
    <x v="3"/>
    <n v="10521"/>
    <n v="7883"/>
    <x v="63"/>
    <x v="2"/>
    <x v="0"/>
    <s v="CONTES"/>
    <x v="1"/>
  </r>
  <r>
    <x v="6"/>
    <x v="0"/>
    <x v="4"/>
    <n v="52"/>
    <n v="57"/>
    <x v="64"/>
    <x v="0"/>
    <x v="0"/>
    <s v="CONTES"/>
    <x v="0"/>
  </r>
  <r>
    <x v="6"/>
    <x v="0"/>
    <x v="5"/>
    <n v="223"/>
    <n v="234"/>
    <x v="65"/>
    <x v="0"/>
    <x v="0"/>
    <s v="CONTES"/>
    <x v="0"/>
  </r>
  <r>
    <x v="6"/>
    <x v="0"/>
    <x v="6"/>
    <n v="110"/>
    <n v="128"/>
    <x v="66"/>
    <x v="0"/>
    <x v="0"/>
    <s v="CONTES"/>
    <x v="0"/>
  </r>
  <r>
    <x v="6"/>
    <x v="0"/>
    <x v="7"/>
    <n v="122"/>
    <n v="93"/>
    <x v="67"/>
    <x v="3"/>
    <x v="0"/>
    <s v="CONTES"/>
    <x v="0"/>
  </r>
  <r>
    <x v="6"/>
    <x v="0"/>
    <x v="8"/>
    <n v="25"/>
    <n v="25"/>
    <x v="68"/>
    <x v="3"/>
    <x v="0"/>
    <s v="CONTES"/>
    <x v="0"/>
  </r>
  <r>
    <x v="6"/>
    <x v="0"/>
    <x v="9"/>
    <n v="288"/>
    <n v="326"/>
    <x v="69"/>
    <x v="0"/>
    <x v="0"/>
    <s v="CONTES"/>
    <x v="0"/>
  </r>
  <r>
    <x v="6"/>
    <x v="0"/>
    <x v="10"/>
    <n v="412"/>
    <n v="447"/>
    <x v="70"/>
    <x v="3"/>
    <x v="0"/>
    <s v="CONTES"/>
    <x v="0"/>
  </r>
  <r>
    <x v="7"/>
    <x v="0"/>
    <x v="0"/>
    <n v="69"/>
    <n v="67"/>
    <x v="71"/>
    <x v="0"/>
    <x v="0"/>
    <s v="CONTES"/>
    <x v="0"/>
  </r>
  <r>
    <x v="7"/>
    <x v="0"/>
    <x v="1"/>
    <n v="73"/>
    <n v="64"/>
    <x v="72"/>
    <x v="0"/>
    <x v="0"/>
    <s v="CONTES"/>
    <x v="0"/>
  </r>
  <r>
    <x v="7"/>
    <x v="0"/>
    <x v="2"/>
    <n v="4819"/>
    <m/>
    <x v="2"/>
    <x v="1"/>
    <x v="1"/>
    <s v="ERROR"/>
    <x v="1"/>
  </r>
  <r>
    <x v="7"/>
    <x v="0"/>
    <x v="3"/>
    <n v="24245"/>
    <n v="18678"/>
    <x v="73"/>
    <x v="2"/>
    <x v="0"/>
    <s v="CONTES"/>
    <x v="1"/>
  </r>
  <r>
    <x v="7"/>
    <x v="0"/>
    <x v="4"/>
    <n v="35"/>
    <n v="39"/>
    <x v="74"/>
    <x v="0"/>
    <x v="0"/>
    <s v="CONTES"/>
    <x v="0"/>
  </r>
  <r>
    <x v="7"/>
    <x v="0"/>
    <x v="5"/>
    <n v="264"/>
    <n v="272"/>
    <x v="75"/>
    <x v="0"/>
    <x v="0"/>
    <s v="CONTES"/>
    <x v="0"/>
  </r>
  <r>
    <x v="7"/>
    <x v="0"/>
    <x v="6"/>
    <n v="98"/>
    <n v="117"/>
    <x v="76"/>
    <x v="0"/>
    <x v="0"/>
    <s v="CONTES"/>
    <x v="0"/>
  </r>
  <r>
    <x v="7"/>
    <x v="0"/>
    <x v="7"/>
    <n v="86"/>
    <n v="53"/>
    <x v="77"/>
    <x v="3"/>
    <x v="0"/>
    <s v="CONTES"/>
    <x v="0"/>
  </r>
  <r>
    <x v="7"/>
    <x v="0"/>
    <x v="8"/>
    <n v="19"/>
    <n v="21"/>
    <x v="78"/>
    <x v="3"/>
    <x v="0"/>
    <s v="CONTES"/>
    <x v="0"/>
  </r>
  <r>
    <x v="7"/>
    <x v="0"/>
    <x v="9"/>
    <n v="271"/>
    <n v="301"/>
    <x v="79"/>
    <x v="0"/>
    <x v="0"/>
    <s v="CONTES"/>
    <x v="0"/>
  </r>
  <r>
    <x v="7"/>
    <x v="0"/>
    <x v="10"/>
    <n v="443"/>
    <n v="434"/>
    <x v="80"/>
    <x v="3"/>
    <x v="0"/>
    <s v="CONTES"/>
    <x v="0"/>
  </r>
  <r>
    <x v="8"/>
    <x v="0"/>
    <x v="0"/>
    <n v="40"/>
    <n v="40"/>
    <x v="81"/>
    <x v="0"/>
    <x v="0"/>
    <s v="CONTES"/>
    <x v="0"/>
  </r>
  <r>
    <x v="8"/>
    <x v="0"/>
    <x v="1"/>
    <n v="36"/>
    <n v="30"/>
    <x v="82"/>
    <x v="0"/>
    <x v="0"/>
    <s v="CONTES"/>
    <x v="0"/>
  </r>
  <r>
    <x v="8"/>
    <x v="0"/>
    <x v="2"/>
    <n v="7147"/>
    <m/>
    <x v="2"/>
    <x v="1"/>
    <x v="1"/>
    <s v="ERROR"/>
    <x v="1"/>
  </r>
  <r>
    <x v="8"/>
    <x v="0"/>
    <x v="3"/>
    <n v="7907"/>
    <n v="6031"/>
    <x v="83"/>
    <x v="2"/>
    <x v="0"/>
    <s v="CONTES"/>
    <x v="1"/>
  </r>
  <r>
    <x v="8"/>
    <x v="0"/>
    <x v="4"/>
    <n v="17"/>
    <n v="17"/>
    <x v="84"/>
    <x v="0"/>
    <x v="0"/>
    <s v="CONTES"/>
    <x v="0"/>
  </r>
  <r>
    <x v="8"/>
    <x v="0"/>
    <x v="5"/>
    <n v="85"/>
    <n v="86"/>
    <x v="85"/>
    <x v="0"/>
    <x v="0"/>
    <s v="CONTES"/>
    <x v="0"/>
  </r>
  <r>
    <x v="8"/>
    <x v="0"/>
    <x v="6"/>
    <n v="47"/>
    <n v="56"/>
    <x v="86"/>
    <x v="0"/>
    <x v="0"/>
    <s v="CONTES"/>
    <x v="0"/>
  </r>
  <r>
    <x v="8"/>
    <x v="0"/>
    <x v="7"/>
    <n v="39"/>
    <n v="24"/>
    <x v="87"/>
    <x v="3"/>
    <x v="0"/>
    <s v="CONTES"/>
    <x v="0"/>
  </r>
  <r>
    <x v="8"/>
    <x v="0"/>
    <x v="8"/>
    <n v="10"/>
    <n v="9"/>
    <x v="88"/>
    <x v="3"/>
    <x v="0"/>
    <s v="CONTES"/>
    <x v="0"/>
  </r>
  <r>
    <x v="8"/>
    <x v="0"/>
    <x v="9"/>
    <n v="83"/>
    <n v="95"/>
    <x v="89"/>
    <x v="0"/>
    <x v="0"/>
    <s v="CONTES"/>
    <x v="0"/>
  </r>
  <r>
    <x v="8"/>
    <x v="0"/>
    <x v="10"/>
    <n v="164"/>
    <n v="180"/>
    <x v="90"/>
    <x v="3"/>
    <x v="0"/>
    <s v="CONTES"/>
    <x v="0"/>
  </r>
  <r>
    <x v="9"/>
    <x v="0"/>
    <x v="0"/>
    <n v="141"/>
    <n v="138"/>
    <x v="91"/>
    <x v="0"/>
    <x v="0"/>
    <s v="CONTES"/>
    <x v="0"/>
  </r>
  <r>
    <x v="9"/>
    <x v="0"/>
    <x v="1"/>
    <n v="151"/>
    <n v="139"/>
    <x v="92"/>
    <x v="0"/>
    <x v="0"/>
    <s v="CONTES"/>
    <x v="0"/>
  </r>
  <r>
    <x v="9"/>
    <x v="0"/>
    <x v="2"/>
    <n v="13810"/>
    <m/>
    <x v="2"/>
    <x v="1"/>
    <x v="1"/>
    <s v="ERROR"/>
    <x v="1"/>
  </r>
  <r>
    <x v="9"/>
    <x v="0"/>
    <x v="3"/>
    <n v="6510"/>
    <n v="3912"/>
    <x v="93"/>
    <x v="2"/>
    <x v="0"/>
    <s v="CONTES"/>
    <x v="1"/>
  </r>
  <r>
    <x v="9"/>
    <x v="0"/>
    <x v="4"/>
    <n v="20"/>
    <n v="21"/>
    <x v="94"/>
    <x v="0"/>
    <x v="0"/>
    <s v="CONTES"/>
    <x v="0"/>
  </r>
  <r>
    <x v="9"/>
    <x v="0"/>
    <x v="5"/>
    <n v="190"/>
    <n v="197"/>
    <x v="95"/>
    <x v="0"/>
    <x v="0"/>
    <s v="CONTES"/>
    <x v="0"/>
  </r>
  <r>
    <x v="9"/>
    <x v="0"/>
    <x v="6"/>
    <n v="145"/>
    <n v="166"/>
    <x v="96"/>
    <x v="0"/>
    <x v="0"/>
    <s v="CONTES"/>
    <x v="0"/>
  </r>
  <r>
    <x v="9"/>
    <x v="0"/>
    <x v="7"/>
    <n v="172"/>
    <n v="118"/>
    <x v="97"/>
    <x v="3"/>
    <x v="0"/>
    <s v="CONTES"/>
    <x v="0"/>
  </r>
  <r>
    <x v="9"/>
    <x v="0"/>
    <x v="8"/>
    <n v="31"/>
    <n v="23"/>
    <x v="98"/>
    <x v="3"/>
    <x v="0"/>
    <s v="CONTES"/>
    <x v="0"/>
  </r>
  <r>
    <x v="9"/>
    <x v="0"/>
    <x v="9"/>
    <n v="382"/>
    <n v="416"/>
    <x v="99"/>
    <x v="0"/>
    <x v="0"/>
    <s v="CONTES"/>
    <x v="0"/>
  </r>
  <r>
    <x v="9"/>
    <x v="0"/>
    <x v="10"/>
    <n v="595"/>
    <n v="584"/>
    <x v="100"/>
    <x v="3"/>
    <x v="0"/>
    <s v="CONTES"/>
    <x v="0"/>
  </r>
  <r>
    <x v="10"/>
    <x v="0"/>
    <x v="0"/>
    <n v="293"/>
    <n v="294"/>
    <x v="101"/>
    <x v="0"/>
    <x v="0"/>
    <s v="CONTES"/>
    <x v="0"/>
  </r>
  <r>
    <x v="10"/>
    <x v="0"/>
    <x v="1"/>
    <n v="317"/>
    <n v="299"/>
    <x v="102"/>
    <x v="0"/>
    <x v="0"/>
    <s v="CONTES"/>
    <x v="0"/>
  </r>
  <r>
    <x v="10"/>
    <x v="0"/>
    <x v="2"/>
    <n v="26285"/>
    <m/>
    <x v="2"/>
    <x v="1"/>
    <x v="1"/>
    <s v="ERROR"/>
    <x v="1"/>
  </r>
  <r>
    <x v="10"/>
    <x v="0"/>
    <x v="3"/>
    <n v="14745"/>
    <n v="10647"/>
    <x v="103"/>
    <x v="2"/>
    <x v="0"/>
    <s v="CONTES"/>
    <x v="1"/>
  </r>
  <r>
    <x v="10"/>
    <x v="0"/>
    <x v="4"/>
    <n v="66"/>
    <n v="77"/>
    <x v="104"/>
    <x v="0"/>
    <x v="0"/>
    <s v="CONTES"/>
    <x v="0"/>
  </r>
  <r>
    <x v="10"/>
    <x v="0"/>
    <x v="5"/>
    <n v="501"/>
    <n v="520"/>
    <x v="105"/>
    <x v="0"/>
    <x v="0"/>
    <s v="CONTES"/>
    <x v="0"/>
  </r>
  <r>
    <x v="10"/>
    <x v="0"/>
    <x v="6"/>
    <n v="312"/>
    <n v="360"/>
    <x v="106"/>
    <x v="0"/>
    <x v="0"/>
    <s v="CONTES"/>
    <x v="0"/>
  </r>
  <r>
    <x v="10"/>
    <x v="0"/>
    <x v="7"/>
    <n v="366"/>
    <n v="341"/>
    <x v="107"/>
    <x v="3"/>
    <x v="0"/>
    <s v="CONTES"/>
    <x v="0"/>
  </r>
  <r>
    <x v="10"/>
    <x v="0"/>
    <x v="8"/>
    <n v="55"/>
    <n v="59"/>
    <x v="108"/>
    <x v="3"/>
    <x v="0"/>
    <s v="CONTES"/>
    <x v="0"/>
  </r>
  <r>
    <x v="10"/>
    <x v="0"/>
    <x v="9"/>
    <n v="900"/>
    <n v="1026"/>
    <x v="109"/>
    <x v="0"/>
    <x v="0"/>
    <s v="CONTES"/>
    <x v="0"/>
  </r>
  <r>
    <x v="10"/>
    <x v="0"/>
    <x v="10"/>
    <n v="1382"/>
    <n v="1604"/>
    <x v="110"/>
    <x v="3"/>
    <x v="0"/>
    <s v="CONTES"/>
    <x v="0"/>
  </r>
  <r>
    <x v="11"/>
    <x v="0"/>
    <x v="0"/>
    <n v="184"/>
    <n v="190"/>
    <x v="111"/>
    <x v="0"/>
    <x v="0"/>
    <s v="CONTES"/>
    <x v="0"/>
  </r>
  <r>
    <x v="11"/>
    <x v="0"/>
    <x v="1"/>
    <n v="297"/>
    <n v="269"/>
    <x v="112"/>
    <x v="0"/>
    <x v="0"/>
    <s v="CONTES"/>
    <x v="0"/>
  </r>
  <r>
    <x v="11"/>
    <x v="0"/>
    <x v="2"/>
    <n v="16200"/>
    <m/>
    <x v="2"/>
    <x v="1"/>
    <x v="1"/>
    <s v="ERROR"/>
    <x v="1"/>
  </r>
  <r>
    <x v="11"/>
    <x v="0"/>
    <x v="3"/>
    <n v="6179"/>
    <n v="1550"/>
    <x v="113"/>
    <x v="2"/>
    <x v="0"/>
    <s v="CONTES"/>
    <x v="1"/>
  </r>
  <r>
    <x v="11"/>
    <x v="0"/>
    <x v="4"/>
    <n v="42"/>
    <n v="47"/>
    <x v="114"/>
    <x v="0"/>
    <x v="0"/>
    <s v="CONTES"/>
    <x v="0"/>
  </r>
  <r>
    <x v="11"/>
    <x v="0"/>
    <x v="5"/>
    <n v="494"/>
    <n v="510"/>
    <x v="115"/>
    <x v="0"/>
    <x v="0"/>
    <s v="CONTES"/>
    <x v="0"/>
  </r>
  <r>
    <x v="11"/>
    <x v="0"/>
    <x v="6"/>
    <n v="202"/>
    <n v="224"/>
    <x v="116"/>
    <x v="0"/>
    <x v="0"/>
    <s v="CONTES"/>
    <x v="0"/>
  </r>
  <r>
    <x v="11"/>
    <x v="0"/>
    <x v="7"/>
    <n v="211"/>
    <n v="101"/>
    <x v="117"/>
    <x v="3"/>
    <x v="0"/>
    <s v="CONTES"/>
    <x v="0"/>
  </r>
  <r>
    <x v="11"/>
    <x v="0"/>
    <x v="8"/>
    <n v="37"/>
    <n v="34"/>
    <x v="118"/>
    <x v="3"/>
    <x v="0"/>
    <s v="CONTES"/>
    <x v="0"/>
  </r>
  <r>
    <x v="11"/>
    <x v="0"/>
    <x v="9"/>
    <n v="475"/>
    <n v="531"/>
    <x v="119"/>
    <x v="0"/>
    <x v="0"/>
    <s v="CONTES"/>
    <x v="0"/>
  </r>
  <r>
    <x v="11"/>
    <x v="0"/>
    <x v="10"/>
    <n v="790"/>
    <n v="683"/>
    <x v="120"/>
    <x v="3"/>
    <x v="0"/>
    <s v="CONTES"/>
    <x v="0"/>
  </r>
  <r>
    <x v="12"/>
    <x v="0"/>
    <x v="0"/>
    <n v="402"/>
    <n v="399"/>
    <x v="121"/>
    <x v="0"/>
    <x v="0"/>
    <s v="CONTES"/>
    <x v="0"/>
  </r>
  <r>
    <x v="12"/>
    <x v="0"/>
    <x v="1"/>
    <n v="395"/>
    <n v="361"/>
    <x v="122"/>
    <x v="0"/>
    <x v="0"/>
    <s v="CONTES"/>
    <x v="0"/>
  </r>
  <r>
    <x v="12"/>
    <x v="0"/>
    <x v="2"/>
    <n v="4070"/>
    <m/>
    <x v="2"/>
    <x v="1"/>
    <x v="1"/>
    <s v="ERROR"/>
    <x v="1"/>
  </r>
  <r>
    <x v="12"/>
    <x v="0"/>
    <x v="3"/>
    <n v="9352"/>
    <n v="1546"/>
    <x v="123"/>
    <x v="2"/>
    <x v="0"/>
    <s v="CONTES"/>
    <x v="1"/>
  </r>
  <r>
    <x v="12"/>
    <x v="0"/>
    <x v="4"/>
    <n v="137"/>
    <n v="154"/>
    <x v="124"/>
    <x v="0"/>
    <x v="0"/>
    <s v="CONTES"/>
    <x v="0"/>
  </r>
  <r>
    <x v="12"/>
    <x v="0"/>
    <x v="5"/>
    <n v="711"/>
    <n v="732"/>
    <x v="125"/>
    <x v="0"/>
    <x v="0"/>
    <s v="CONTES"/>
    <x v="0"/>
  </r>
  <r>
    <x v="12"/>
    <x v="0"/>
    <x v="6"/>
    <n v="483"/>
    <n v="558"/>
    <x v="126"/>
    <x v="0"/>
    <x v="0"/>
    <s v="CONTES"/>
    <x v="0"/>
  </r>
  <r>
    <x v="12"/>
    <x v="0"/>
    <x v="7"/>
    <n v="387"/>
    <n v="183"/>
    <x v="127"/>
    <x v="3"/>
    <x v="0"/>
    <s v="CONTES"/>
    <x v="0"/>
  </r>
  <r>
    <x v="12"/>
    <x v="0"/>
    <x v="8"/>
    <n v="64"/>
    <n v="48"/>
    <x v="128"/>
    <x v="3"/>
    <x v="0"/>
    <s v="CONTES"/>
    <x v="0"/>
  </r>
  <r>
    <x v="12"/>
    <x v="0"/>
    <x v="9"/>
    <n v="1224"/>
    <n v="1377"/>
    <x v="129"/>
    <x v="0"/>
    <x v="0"/>
    <s v="CONTES"/>
    <x v="0"/>
  </r>
  <r>
    <x v="12"/>
    <x v="0"/>
    <x v="10"/>
    <n v="1560"/>
    <n v="1328"/>
    <x v="130"/>
    <x v="3"/>
    <x v="0"/>
    <s v="CONTES"/>
    <x v="0"/>
  </r>
  <r>
    <x v="13"/>
    <x v="0"/>
    <x v="0"/>
    <n v="218"/>
    <n v="217"/>
    <x v="131"/>
    <x v="0"/>
    <x v="0"/>
    <s v="CONTES"/>
    <x v="0"/>
  </r>
  <r>
    <x v="13"/>
    <x v="0"/>
    <x v="1"/>
    <n v="290"/>
    <n v="259"/>
    <x v="132"/>
    <x v="0"/>
    <x v="0"/>
    <s v="CONTES"/>
    <x v="0"/>
  </r>
  <r>
    <x v="13"/>
    <x v="0"/>
    <x v="2"/>
    <n v="6624"/>
    <m/>
    <x v="2"/>
    <x v="1"/>
    <x v="1"/>
    <s v="ERROR"/>
    <x v="1"/>
  </r>
  <r>
    <x v="13"/>
    <x v="0"/>
    <x v="3"/>
    <n v="9776"/>
    <n v="3065"/>
    <x v="133"/>
    <x v="2"/>
    <x v="0"/>
    <s v="CONTES"/>
    <x v="1"/>
  </r>
  <r>
    <x v="13"/>
    <x v="0"/>
    <x v="4"/>
    <n v="80"/>
    <n v="90"/>
    <x v="134"/>
    <x v="0"/>
    <x v="0"/>
    <s v="CONTES"/>
    <x v="0"/>
  </r>
  <r>
    <x v="13"/>
    <x v="0"/>
    <x v="5"/>
    <n v="256"/>
    <n v="262"/>
    <x v="135"/>
    <x v="0"/>
    <x v="0"/>
    <s v="CONTES"/>
    <x v="0"/>
  </r>
  <r>
    <x v="13"/>
    <x v="0"/>
    <x v="6"/>
    <n v="299"/>
    <n v="337"/>
    <x v="136"/>
    <x v="0"/>
    <x v="0"/>
    <s v="CONTES"/>
    <x v="0"/>
  </r>
  <r>
    <x v="13"/>
    <x v="0"/>
    <x v="7"/>
    <n v="240"/>
    <n v="152"/>
    <x v="137"/>
    <x v="3"/>
    <x v="0"/>
    <s v="CONTES"/>
    <x v="0"/>
  </r>
  <r>
    <x v="13"/>
    <x v="0"/>
    <x v="8"/>
    <n v="45"/>
    <n v="38"/>
    <x v="138"/>
    <x v="3"/>
    <x v="0"/>
    <s v="CONTES"/>
    <x v="0"/>
  </r>
  <r>
    <x v="13"/>
    <x v="0"/>
    <x v="9"/>
    <n v="684"/>
    <n v="758"/>
    <x v="139"/>
    <x v="0"/>
    <x v="0"/>
    <s v="CONTES"/>
    <x v="0"/>
  </r>
  <r>
    <x v="13"/>
    <x v="0"/>
    <x v="10"/>
    <n v="744"/>
    <n v="715"/>
    <x v="140"/>
    <x v="3"/>
    <x v="0"/>
    <s v="CONTES"/>
    <x v="0"/>
  </r>
  <r>
    <x v="14"/>
    <x v="1"/>
    <x v="11"/>
    <n v="230"/>
    <n v="110.06666666666666"/>
    <x v="141"/>
    <x v="3"/>
    <x v="0"/>
    <s v="CONTES"/>
    <x v="1"/>
  </r>
  <r>
    <x v="14"/>
    <x v="1"/>
    <x v="12"/>
    <n v="1919"/>
    <n v="1009.0833333333334"/>
    <x v="142"/>
    <x v="2"/>
    <x v="0"/>
    <s v="CONTES"/>
    <x v="1"/>
  </r>
  <r>
    <x v="14"/>
    <x v="1"/>
    <x v="13"/>
    <n v="22204"/>
    <n v="1640.2166666666667"/>
    <x v="143"/>
    <x v="1"/>
    <x v="1"/>
    <s v="ERROR"/>
    <x v="1"/>
  </r>
  <r>
    <x v="14"/>
    <x v="1"/>
    <x v="14"/>
    <n v="1751"/>
    <n v="361.11666666666667"/>
    <x v="144"/>
    <x v="3"/>
    <x v="0"/>
    <s v="CONTES"/>
    <x v="1"/>
  </r>
  <r>
    <x v="14"/>
    <x v="1"/>
    <x v="15"/>
    <n v="174"/>
    <n v="86.1"/>
    <x v="145"/>
    <x v="3"/>
    <x v="0"/>
    <s v="CONTES"/>
    <x v="0"/>
  </r>
  <r>
    <x v="14"/>
    <x v="1"/>
    <x v="16"/>
    <n v="917"/>
    <n v="475.91666666666669"/>
    <x v="146"/>
    <x v="3"/>
    <x v="0"/>
    <s v="CONTES"/>
    <x v="0"/>
  </r>
  <r>
    <x v="14"/>
    <x v="1"/>
    <x v="17"/>
    <n v="1609"/>
    <n v="0"/>
    <x v="2"/>
    <x v="1"/>
    <x v="1"/>
    <s v="ERROR"/>
    <x v="1"/>
  </r>
  <r>
    <x v="14"/>
    <x v="1"/>
    <x v="18"/>
    <n v="4"/>
    <n v="1.5666666666666667"/>
    <x v="147"/>
    <x v="0"/>
    <x v="0"/>
    <s v="CONTES"/>
    <x v="0"/>
  </r>
  <r>
    <x v="14"/>
    <x v="1"/>
    <x v="19"/>
    <n v="35390"/>
    <n v="39.18333333333333"/>
    <x v="148"/>
    <x v="3"/>
    <x v="0"/>
    <s v="CONTES"/>
    <x v="1"/>
  </r>
  <r>
    <x v="14"/>
    <x v="1"/>
    <x v="20"/>
    <n v="260"/>
    <n v="117.51666666666667"/>
    <x v="149"/>
    <x v="0"/>
    <x v="0"/>
    <s v="CONTES"/>
    <x v="0"/>
  </r>
  <r>
    <x v="14"/>
    <x v="1"/>
    <x v="21"/>
    <n v="781"/>
    <n v="644.68333333333328"/>
    <x v="150"/>
    <x v="0"/>
    <x v="0"/>
    <s v="CONTES"/>
    <x v="0"/>
  </r>
  <r>
    <x v="14"/>
    <x v="1"/>
    <x v="22"/>
    <n v="12"/>
    <n v="4.0166666666666666"/>
    <x v="151"/>
    <x v="0"/>
    <x v="0"/>
    <s v="CONTES"/>
    <x v="0"/>
  </r>
  <r>
    <x v="15"/>
    <x v="1"/>
    <x v="11"/>
    <n v="94"/>
    <n v="45.833333333333336"/>
    <x v="152"/>
    <x v="3"/>
    <x v="0"/>
    <s v="CONTES"/>
    <x v="1"/>
  </r>
  <r>
    <x v="15"/>
    <x v="1"/>
    <x v="12"/>
    <n v="1201"/>
    <n v="622.2833333333333"/>
    <x v="153"/>
    <x v="2"/>
    <x v="0"/>
    <s v="CONTES"/>
    <x v="1"/>
  </r>
  <r>
    <x v="15"/>
    <x v="1"/>
    <x v="13"/>
    <n v="15548"/>
    <n v="1445.4"/>
    <x v="154"/>
    <x v="1"/>
    <x v="1"/>
    <s v="ERROR"/>
    <x v="1"/>
  </r>
  <r>
    <x v="15"/>
    <x v="1"/>
    <x v="14"/>
    <n v="879"/>
    <n v="172.56666666666666"/>
    <x v="155"/>
    <x v="3"/>
    <x v="0"/>
    <s v="CONTES"/>
    <x v="1"/>
  </r>
  <r>
    <x v="15"/>
    <x v="1"/>
    <x v="15"/>
    <n v="88"/>
    <n v="46.45"/>
    <x v="156"/>
    <x v="3"/>
    <x v="0"/>
    <s v="CONTES"/>
    <x v="0"/>
  </r>
  <r>
    <x v="15"/>
    <x v="1"/>
    <x v="16"/>
    <n v="424"/>
    <n v="219.2"/>
    <x v="157"/>
    <x v="3"/>
    <x v="0"/>
    <s v="CONTES"/>
    <x v="0"/>
  </r>
  <r>
    <x v="15"/>
    <x v="1"/>
    <x v="17"/>
    <n v="5792"/>
    <n v="0"/>
    <x v="2"/>
    <x v="1"/>
    <x v="1"/>
    <s v="ERROR"/>
    <x v="1"/>
  </r>
  <r>
    <x v="15"/>
    <x v="1"/>
    <x v="18"/>
    <n v="1"/>
    <n v="0.31666666666666665"/>
    <x v="158"/>
    <x v="0"/>
    <x v="0"/>
    <s v="CONTES"/>
    <x v="0"/>
  </r>
  <r>
    <x v="15"/>
    <x v="1"/>
    <x v="19"/>
    <n v="21599"/>
    <n v="35.35"/>
    <x v="159"/>
    <x v="3"/>
    <x v="0"/>
    <s v="CONTES"/>
    <x v="1"/>
  </r>
  <r>
    <x v="15"/>
    <x v="1"/>
    <x v="20"/>
    <n v="95"/>
    <n v="41.733333333333334"/>
    <x v="160"/>
    <x v="0"/>
    <x v="0"/>
    <s v="CONTES"/>
    <x v="0"/>
  </r>
  <r>
    <x v="15"/>
    <x v="1"/>
    <x v="21"/>
    <n v="274"/>
    <n v="221.46666666666667"/>
    <x v="161"/>
    <x v="0"/>
    <x v="0"/>
    <s v="CONTES"/>
    <x v="0"/>
  </r>
  <r>
    <x v="15"/>
    <x v="1"/>
    <x v="22"/>
    <n v="5"/>
    <n v="1.65"/>
    <x v="162"/>
    <x v="0"/>
    <x v="0"/>
    <s v="CONTES"/>
    <x v="0"/>
  </r>
  <r>
    <x v="16"/>
    <x v="1"/>
    <x v="11"/>
    <n v="308"/>
    <n v="151.81666666666666"/>
    <x v="163"/>
    <x v="3"/>
    <x v="0"/>
    <s v="CONTES"/>
    <x v="1"/>
  </r>
  <r>
    <x v="16"/>
    <x v="1"/>
    <x v="12"/>
    <n v="2859"/>
    <n v="1530.35"/>
    <x v="164"/>
    <x v="2"/>
    <x v="0"/>
    <s v="CONTES"/>
    <x v="1"/>
  </r>
  <r>
    <x v="16"/>
    <x v="1"/>
    <x v="13"/>
    <n v="32414"/>
    <n v="2249.6999999999998"/>
    <x v="165"/>
    <x v="1"/>
    <x v="1"/>
    <s v="ERROR"/>
    <x v="1"/>
  </r>
  <r>
    <x v="16"/>
    <x v="1"/>
    <x v="14"/>
    <n v="2142"/>
    <n v="413.08333333333331"/>
    <x v="166"/>
    <x v="3"/>
    <x v="0"/>
    <s v="CONTES"/>
    <x v="1"/>
  </r>
  <r>
    <x v="16"/>
    <x v="1"/>
    <x v="15"/>
    <n v="229"/>
    <n v="121.88333333333334"/>
    <x v="167"/>
    <x v="3"/>
    <x v="0"/>
    <s v="CONTES"/>
    <x v="0"/>
  </r>
  <r>
    <x v="16"/>
    <x v="1"/>
    <x v="16"/>
    <n v="1108"/>
    <n v="576.01666666666665"/>
    <x v="168"/>
    <x v="3"/>
    <x v="0"/>
    <s v="CONTES"/>
    <x v="0"/>
  </r>
  <r>
    <x v="16"/>
    <x v="1"/>
    <x v="17"/>
    <n v="6907"/>
    <n v="0"/>
    <x v="2"/>
    <x v="1"/>
    <x v="1"/>
    <s v="ERROR"/>
    <x v="1"/>
  </r>
  <r>
    <x v="16"/>
    <x v="1"/>
    <x v="18"/>
    <n v="6"/>
    <n v="2.2999999999999998"/>
    <x v="169"/>
    <x v="0"/>
    <x v="0"/>
    <s v="CONTES"/>
    <x v="0"/>
  </r>
  <r>
    <x v="16"/>
    <x v="1"/>
    <x v="19"/>
    <n v="47008"/>
    <n v="64.86666666666666"/>
    <x v="170"/>
    <x v="3"/>
    <x v="0"/>
    <s v="CONTES"/>
    <x v="1"/>
  </r>
  <r>
    <x v="16"/>
    <x v="1"/>
    <x v="20"/>
    <n v="297"/>
    <n v="133.91666666666666"/>
    <x v="171"/>
    <x v="0"/>
    <x v="0"/>
    <s v="CONTES"/>
    <x v="0"/>
  </r>
  <r>
    <x v="16"/>
    <x v="1"/>
    <x v="21"/>
    <n v="901"/>
    <n v="764.63333333333333"/>
    <x v="172"/>
    <x v="0"/>
    <x v="0"/>
    <s v="CONTES"/>
    <x v="0"/>
  </r>
  <r>
    <x v="16"/>
    <x v="1"/>
    <x v="22"/>
    <n v="3"/>
    <n v="1.2833333333333334"/>
    <x v="173"/>
    <x v="0"/>
    <x v="0"/>
    <s v="CONTES"/>
    <x v="0"/>
  </r>
  <r>
    <x v="5"/>
    <x v="1"/>
    <x v="11"/>
    <n v="303"/>
    <n v="151.38333333333333"/>
    <x v="174"/>
    <x v="3"/>
    <x v="0"/>
    <s v="CONTES"/>
    <x v="1"/>
  </r>
  <r>
    <x v="5"/>
    <x v="1"/>
    <x v="12"/>
    <n v="1627"/>
    <n v="841.2833333333333"/>
    <x v="175"/>
    <x v="2"/>
    <x v="0"/>
    <s v="CONTES"/>
    <x v="1"/>
  </r>
  <r>
    <x v="5"/>
    <x v="1"/>
    <x v="13"/>
    <n v="28873"/>
    <n v="1801.3"/>
    <x v="176"/>
    <x v="1"/>
    <x v="1"/>
    <s v="ERROR"/>
    <x v="1"/>
  </r>
  <r>
    <x v="5"/>
    <x v="1"/>
    <x v="14"/>
    <n v="2096"/>
    <n v="404.18333333333334"/>
    <x v="177"/>
    <x v="3"/>
    <x v="0"/>
    <s v="CONTES"/>
    <x v="1"/>
  </r>
  <r>
    <x v="5"/>
    <x v="1"/>
    <x v="15"/>
    <n v="217"/>
    <n v="113.48333333333333"/>
    <x v="178"/>
    <x v="3"/>
    <x v="0"/>
    <s v="CONTES"/>
    <x v="0"/>
  </r>
  <r>
    <x v="5"/>
    <x v="1"/>
    <x v="16"/>
    <n v="936"/>
    <n v="479.1"/>
    <x v="179"/>
    <x v="3"/>
    <x v="0"/>
    <s v="CONTES"/>
    <x v="0"/>
  </r>
  <r>
    <x v="5"/>
    <x v="1"/>
    <x v="17"/>
    <n v="2245"/>
    <n v="0"/>
    <x v="2"/>
    <x v="1"/>
    <x v="1"/>
    <s v="ERROR"/>
    <x v="1"/>
  </r>
  <r>
    <x v="5"/>
    <x v="1"/>
    <x v="18"/>
    <n v="8"/>
    <n v="2.9333333333333331"/>
    <x v="180"/>
    <x v="0"/>
    <x v="0"/>
    <s v="CONTES"/>
    <x v="0"/>
  </r>
  <r>
    <x v="5"/>
    <x v="1"/>
    <x v="19"/>
    <n v="39804"/>
    <n v="67.733333333333334"/>
    <x v="181"/>
    <x v="3"/>
    <x v="0"/>
    <s v="CONTES"/>
    <x v="1"/>
  </r>
  <r>
    <x v="5"/>
    <x v="1"/>
    <x v="20"/>
    <n v="261"/>
    <n v="116.83333333333333"/>
    <x v="182"/>
    <x v="0"/>
    <x v="0"/>
    <s v="CONTES"/>
    <x v="0"/>
  </r>
  <r>
    <x v="5"/>
    <x v="1"/>
    <x v="21"/>
    <n v="1202"/>
    <n v="985.93333333333328"/>
    <x v="183"/>
    <x v="0"/>
    <x v="0"/>
    <s v="CONTES"/>
    <x v="0"/>
  </r>
  <r>
    <x v="5"/>
    <x v="1"/>
    <x v="22"/>
    <n v="7"/>
    <n v="2.0666666666666669"/>
    <x v="184"/>
    <x v="0"/>
    <x v="0"/>
    <s v="CONTES"/>
    <x v="0"/>
  </r>
  <r>
    <x v="17"/>
    <x v="1"/>
    <x v="11"/>
    <n v="86"/>
    <n v="37.5"/>
    <x v="185"/>
    <x v="3"/>
    <x v="0"/>
    <s v="CONTES"/>
    <x v="1"/>
  </r>
  <r>
    <x v="17"/>
    <x v="1"/>
    <x v="12"/>
    <n v="826"/>
    <n v="423.93333333333334"/>
    <x v="186"/>
    <x v="2"/>
    <x v="0"/>
    <s v="CONTES"/>
    <x v="1"/>
  </r>
  <r>
    <x v="17"/>
    <x v="1"/>
    <x v="13"/>
    <n v="7874"/>
    <n v="405.8"/>
    <x v="187"/>
    <x v="1"/>
    <x v="1"/>
    <s v="ERROR"/>
    <x v="1"/>
  </r>
  <r>
    <x v="17"/>
    <x v="1"/>
    <x v="14"/>
    <n v="850"/>
    <n v="168.35"/>
    <x v="188"/>
    <x v="3"/>
    <x v="0"/>
    <s v="CONTES"/>
    <x v="1"/>
  </r>
  <r>
    <x v="17"/>
    <x v="1"/>
    <x v="15"/>
    <n v="102"/>
    <n v="53.06666666666667"/>
    <x v="189"/>
    <x v="3"/>
    <x v="0"/>
    <s v="CONTES"/>
    <x v="0"/>
  </r>
  <r>
    <x v="17"/>
    <x v="1"/>
    <x v="16"/>
    <n v="1256"/>
    <n v="625.45000000000005"/>
    <x v="190"/>
    <x v="3"/>
    <x v="0"/>
    <s v="CONTES"/>
    <x v="0"/>
  </r>
  <r>
    <x v="17"/>
    <x v="1"/>
    <x v="23"/>
    <n v="192"/>
    <n v="0"/>
    <x v="2"/>
    <x v="1"/>
    <x v="1"/>
    <s v="ERROR"/>
    <x v="1"/>
  </r>
  <r>
    <x v="17"/>
    <x v="1"/>
    <x v="18"/>
    <n v="3"/>
    <n v="1.2833333333333334"/>
    <x v="173"/>
    <x v="0"/>
    <x v="0"/>
    <s v="CONTES"/>
    <x v="0"/>
  </r>
  <r>
    <x v="17"/>
    <x v="1"/>
    <x v="19"/>
    <n v="20149"/>
    <n v="15.483333333333333"/>
    <x v="191"/>
    <x v="3"/>
    <x v="0"/>
    <s v="CONTES"/>
    <x v="1"/>
  </r>
  <r>
    <x v="17"/>
    <x v="1"/>
    <x v="20"/>
    <n v="35"/>
    <n v="15.533333333333333"/>
    <x v="192"/>
    <x v="0"/>
    <x v="0"/>
    <s v="CONTES"/>
    <x v="0"/>
  </r>
  <r>
    <x v="17"/>
    <x v="1"/>
    <x v="21"/>
    <n v="63"/>
    <n v="52.633333333333333"/>
    <x v="193"/>
    <x v="0"/>
    <x v="0"/>
    <s v="CONTES"/>
    <x v="0"/>
  </r>
  <r>
    <x v="18"/>
    <x v="1"/>
    <x v="11"/>
    <n v="355"/>
    <n v="178.65"/>
    <x v="194"/>
    <x v="3"/>
    <x v="0"/>
    <s v="CONTES"/>
    <x v="1"/>
  </r>
  <r>
    <x v="18"/>
    <x v="1"/>
    <x v="12"/>
    <n v="2653"/>
    <n v="1379.2"/>
    <x v="195"/>
    <x v="2"/>
    <x v="0"/>
    <s v="CONTES"/>
    <x v="1"/>
  </r>
  <r>
    <x v="18"/>
    <x v="1"/>
    <x v="13"/>
    <n v="20062"/>
    <n v="1456.4666666666667"/>
    <x v="196"/>
    <x v="1"/>
    <x v="1"/>
    <s v="ERROR"/>
    <x v="1"/>
  </r>
  <r>
    <x v="18"/>
    <x v="1"/>
    <x v="14"/>
    <n v="2189"/>
    <n v="455.5"/>
    <x v="197"/>
    <x v="3"/>
    <x v="0"/>
    <s v="CONTES"/>
    <x v="1"/>
  </r>
  <r>
    <x v="18"/>
    <x v="1"/>
    <x v="15"/>
    <n v="308"/>
    <n v="159.25"/>
    <x v="198"/>
    <x v="3"/>
    <x v="0"/>
    <s v="CONTES"/>
    <x v="0"/>
  </r>
  <r>
    <x v="18"/>
    <x v="1"/>
    <x v="16"/>
    <n v="1215"/>
    <n v="625.73333333333335"/>
    <x v="199"/>
    <x v="3"/>
    <x v="0"/>
    <s v="CONTES"/>
    <x v="0"/>
  </r>
  <r>
    <x v="18"/>
    <x v="1"/>
    <x v="17"/>
    <n v="5803"/>
    <n v="0"/>
    <x v="2"/>
    <x v="1"/>
    <x v="1"/>
    <s v="ERROR"/>
    <x v="1"/>
  </r>
  <r>
    <x v="18"/>
    <x v="1"/>
    <x v="18"/>
    <n v="10"/>
    <n v="3.5833333333333335"/>
    <x v="200"/>
    <x v="0"/>
    <x v="0"/>
    <s v="CONTES"/>
    <x v="0"/>
  </r>
  <r>
    <x v="18"/>
    <x v="1"/>
    <x v="19"/>
    <n v="41579"/>
    <n v="38"/>
    <x v="201"/>
    <x v="3"/>
    <x v="0"/>
    <s v="CONTES"/>
    <x v="1"/>
  </r>
  <r>
    <x v="18"/>
    <x v="1"/>
    <x v="20"/>
    <n v="467"/>
    <n v="208.65"/>
    <x v="202"/>
    <x v="0"/>
    <x v="0"/>
    <s v="CONTES"/>
    <x v="0"/>
  </r>
  <r>
    <x v="18"/>
    <x v="1"/>
    <x v="21"/>
    <n v="1679"/>
    <n v="1386.7333333333333"/>
    <x v="203"/>
    <x v="0"/>
    <x v="0"/>
    <s v="CONTES"/>
    <x v="0"/>
  </r>
  <r>
    <x v="18"/>
    <x v="1"/>
    <x v="22"/>
    <n v="22"/>
    <n v="7.3166666666666664"/>
    <x v="204"/>
    <x v="0"/>
    <x v="0"/>
    <s v="CONTES"/>
    <x v="0"/>
  </r>
  <r>
    <x v="19"/>
    <x v="1"/>
    <x v="11"/>
    <n v="276"/>
    <n v="143.91666666666666"/>
    <x v="205"/>
    <x v="3"/>
    <x v="0"/>
    <s v="CONTES"/>
    <x v="1"/>
  </r>
  <r>
    <x v="19"/>
    <x v="1"/>
    <x v="12"/>
    <n v="2648"/>
    <n v="1430.3333333333333"/>
    <x v="206"/>
    <x v="2"/>
    <x v="0"/>
    <s v="CONTES"/>
    <x v="1"/>
  </r>
  <r>
    <x v="19"/>
    <x v="1"/>
    <x v="13"/>
    <n v="43182"/>
    <n v="3547.55"/>
    <x v="207"/>
    <x v="1"/>
    <x v="1"/>
    <s v="ERROR"/>
    <x v="1"/>
  </r>
  <r>
    <x v="19"/>
    <x v="1"/>
    <x v="14"/>
    <n v="1823"/>
    <n v="364.61666666666667"/>
    <x v="208"/>
    <x v="3"/>
    <x v="0"/>
    <s v="CONTES"/>
    <x v="1"/>
  </r>
  <r>
    <x v="19"/>
    <x v="1"/>
    <x v="15"/>
    <n v="196"/>
    <n v="108.25"/>
    <x v="209"/>
    <x v="3"/>
    <x v="0"/>
    <s v="CONTES"/>
    <x v="0"/>
  </r>
  <r>
    <x v="19"/>
    <x v="1"/>
    <x v="16"/>
    <n v="652"/>
    <n v="341.1"/>
    <x v="210"/>
    <x v="3"/>
    <x v="0"/>
    <s v="CONTES"/>
    <x v="0"/>
  </r>
  <r>
    <x v="19"/>
    <x v="1"/>
    <x v="17"/>
    <n v="4329"/>
    <n v="0"/>
    <x v="2"/>
    <x v="1"/>
    <x v="1"/>
    <s v="ERROR"/>
    <x v="1"/>
  </r>
  <r>
    <x v="19"/>
    <x v="1"/>
    <x v="18"/>
    <n v="7"/>
    <n v="2.75"/>
    <x v="211"/>
    <x v="0"/>
    <x v="0"/>
    <s v="CONTES"/>
    <x v="0"/>
  </r>
  <r>
    <x v="19"/>
    <x v="1"/>
    <x v="19"/>
    <n v="44896"/>
    <n v="58.85"/>
    <x v="212"/>
    <x v="3"/>
    <x v="0"/>
    <s v="CONTES"/>
    <x v="1"/>
  </r>
  <r>
    <x v="19"/>
    <x v="1"/>
    <x v="20"/>
    <n v="266"/>
    <n v="118.26666666666667"/>
    <x v="213"/>
    <x v="0"/>
    <x v="0"/>
    <s v="CONTES"/>
    <x v="0"/>
  </r>
  <r>
    <x v="19"/>
    <x v="1"/>
    <x v="21"/>
    <n v="1451"/>
    <n v="1205.5833333333333"/>
    <x v="214"/>
    <x v="0"/>
    <x v="0"/>
    <s v="CONTES"/>
    <x v="0"/>
  </r>
  <r>
    <x v="19"/>
    <x v="1"/>
    <x v="22"/>
    <n v="11"/>
    <n v="3.8"/>
    <x v="215"/>
    <x v="0"/>
    <x v="0"/>
    <s v="CONTES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9D713B-79F4-40D4-B72F-DA270B2C10F1}" name="TablaDinámica21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1">
  <location ref="CK7:CN35" firstHeaderRow="1" firstDataRow="2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3">
        <item x="0"/>
        <item x="1"/>
        <item t="default"/>
      </items>
    </pivotField>
    <pivotField showAll="0"/>
    <pivotField axis="axisRow" showAll="0">
      <items count="3">
        <item x="0"/>
        <item x="1"/>
        <item t="default"/>
      </items>
    </pivotField>
  </pivotFields>
  <rowFields count="2">
    <field x="2"/>
    <field x="9"/>
  </rowFields>
  <rowItems count="27">
    <i>
      <x/>
    </i>
    <i r="1">
      <x v="1"/>
    </i>
    <i>
      <x v="1"/>
    </i>
    <i r="1">
      <x v="1"/>
    </i>
    <i>
      <x v="4"/>
    </i>
    <i r="1">
      <x v="1"/>
    </i>
    <i>
      <x v="5"/>
    </i>
    <i r="1">
      <x v="1"/>
    </i>
    <i>
      <x v="6"/>
    </i>
    <i r="1">
      <x/>
    </i>
    <i>
      <x v="7"/>
    </i>
    <i r="1">
      <x/>
    </i>
    <i>
      <x v="8"/>
    </i>
    <i r="1">
      <x v="1"/>
    </i>
    <i>
      <x v="9"/>
    </i>
    <i r="1">
      <x v="1"/>
    </i>
    <i>
      <x v="10"/>
    </i>
    <i r="1">
      <x/>
    </i>
    <i>
      <x v="12"/>
    </i>
    <i r="1">
      <x v="1"/>
    </i>
    <i>
      <x v="13"/>
    </i>
    <i r="1">
      <x/>
    </i>
    <i>
      <x v="14"/>
    </i>
    <i r="1">
      <x/>
    </i>
    <i>
      <x v="23"/>
    </i>
    <i r="1">
      <x/>
    </i>
    <i t="grand">
      <x/>
    </i>
  </rowItems>
  <colFields count="1">
    <field x="7"/>
  </colFields>
  <colItems count="3">
    <i>
      <x/>
    </i>
    <i>
      <x v="1"/>
    </i>
    <i t="grand">
      <x/>
    </i>
  </colItems>
  <pageFields count="1">
    <pageField fld="1" item="1" hier="-1"/>
  </pageFields>
  <dataFields count="1">
    <dataField name="Suma de Cantidad" fld="3" baseField="0" baseItem="0"/>
  </dataFields>
  <formats count="2">
    <format dxfId="41">
      <pivotArea outline="0" collapsedLevelsAreSubtotals="1" fieldPosition="0"/>
    </format>
    <format dxfId="42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081688-C0EA-4BB8-B066-4881FAB63BFB}" name="TablaDinámica15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N9:O13" firstHeaderRow="1" firstDataRow="1" firstDataCol="1" rowPageCount="1" colPageCount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showAll="0"/>
    <pivotField showAll="0"/>
    <pivotField numFmtId="167" showAll="0"/>
    <pivotField dataField="1" showAll="0"/>
    <pivotField showAll="0"/>
    <pivotField axis="axisRow" showAll="0" sortType="descending">
      <items count="7">
        <item x="2"/>
        <item x="0"/>
        <item x="3"/>
        <item x="1"/>
        <item m="1" x="4"/>
        <item m="1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7" item="0" hier="-1"/>
  </pageFields>
  <dataFields count="1">
    <dataField name="Suma de Minutos" fld="4" baseField="0" baseItem="0"/>
  </dataFields>
  <formats count="2">
    <format dxfId="39">
      <pivotArea outline="0" collapsedLevelsAreSubtotals="1" fieldPosition="0"/>
    </format>
    <format dxfId="4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76A267-64FB-4FDF-AE08-92F5F51E1627}" name="TablaDinámica16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5">
  <location ref="BN7:BO19" firstHeaderRow="1" firstDataRow="1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2"/>
  </rowFields>
  <rowItems count="12">
    <i>
      <x v="2"/>
    </i>
    <i>
      <x v="3"/>
    </i>
    <i>
      <x v="11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" item="0" hier="-1"/>
  </pageFields>
  <dataFields count="1">
    <dataField name="Suma de Cantidad" fld="3" baseField="0" baseItem="0"/>
  </dataFields>
  <formats count="2">
    <format dxfId="37">
      <pivotArea outline="0" collapsedLevelsAreSubtotals="1" fieldPosition="0"/>
    </format>
    <format dxfId="38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90B96-6902-4C25-9F1E-1F949A0F3E76}" name="TablaDinámica1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6">
  <location ref="CB7:CC17" firstHeaderRow="1" firstDataRow="1" firstDataCol="1" rowPageCount="2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10">
    <i>
      <x v="2"/>
    </i>
    <i>
      <x v="3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2">
    <pageField fld="1" item="0" hier="-1"/>
    <pageField fld="9" item="0" hier="-1"/>
  </pageFields>
  <dataFields count="1">
    <dataField name="Suma de Cantidad" fld="3" baseField="0" baseItem="0"/>
  </dataFields>
  <formats count="2">
    <format dxfId="35">
      <pivotArea outline="0" collapsedLevelsAreSubtotals="1" fieldPosition="0"/>
    </format>
    <format dxfId="36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E885ED-7A08-4558-B24C-4F4A650EC2FE}" name="TablaDinámica9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BE7:BF12" firstHeaderRow="1" firstDataRow="1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dataField="1" numFmtId="167" showAll="0"/>
    <pivotField showAll="0"/>
    <pivotField showAll="0"/>
    <pivotField axis="axisRow" showAll="0" sortType="ascending">
      <items count="7">
        <item x="2"/>
        <item x="0"/>
        <item x="3"/>
        <item x="1"/>
        <item m="1" x="4"/>
        <item m="1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6"/>
  </rowFields>
  <rowItems count="5">
    <i>
      <x v="2"/>
    </i>
    <i>
      <x v="1"/>
    </i>
    <i>
      <x v="3"/>
    </i>
    <i>
      <x/>
    </i>
    <i t="grand">
      <x/>
    </i>
  </rowItems>
  <colItems count="1">
    <i/>
  </colItems>
  <pageFields count="1">
    <pageField fld="1" item="0" hier="-1"/>
  </pageFields>
  <dataFields count="1">
    <dataField name="Suma de Cantidad" fld="3" baseField="0" baseItem="0"/>
  </dataFields>
  <formats count="2">
    <format dxfId="33">
      <pivotArea outline="0" collapsedLevelsAreSubtotals="1" fieldPosition="0"/>
    </format>
    <format dxfId="34">
      <pivotArea dataOnly="0" labelOnly="1" outline="0" axis="axisValues" fieldPosition="0"/>
    </format>
  </formats>
  <chartFormats count="1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46DD0F-ABD8-4ED6-8527-BCB58D79823B}" name="TablaDinámica12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5">
  <location ref="BK7:BL21" firstHeaderRow="1" firstDataRow="1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 sortType="ascending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2"/>
  </rowFields>
  <rowItems count="14">
    <i>
      <x v="10"/>
    </i>
    <i>
      <x v="23"/>
    </i>
    <i>
      <x v="8"/>
    </i>
    <i>
      <x v="6"/>
    </i>
    <i>
      <x/>
    </i>
    <i>
      <x v="13"/>
    </i>
    <i>
      <x v="14"/>
    </i>
    <i>
      <x v="7"/>
    </i>
    <i>
      <x v="5"/>
    </i>
    <i>
      <x v="1"/>
    </i>
    <i>
      <x v="9"/>
    </i>
    <i>
      <x v="4"/>
    </i>
    <i>
      <x v="12"/>
    </i>
    <i t="grand">
      <x/>
    </i>
  </rowItems>
  <colItems count="1">
    <i/>
  </colItems>
  <pageFields count="1">
    <pageField fld="1" item="1" hier="-1"/>
  </pageFields>
  <dataFields count="1">
    <dataField name="Suma de Cantidad" fld="3" baseField="0" baseItem="0"/>
  </dataFields>
  <formats count="2">
    <format dxfId="31">
      <pivotArea outline="0" collapsedLevelsAreSubtotals="1" fieldPosition="0"/>
    </format>
    <format dxfId="32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1B00A8-BEE7-4098-961C-4A5574F84646}" name="TablaDinámica14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K9:L11" firstHeaderRow="1" firstDataRow="1" firstDataCol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Suma de Cantidad" fld="3" baseField="0" baseItem="0"/>
  </dataFields>
  <formats count="2">
    <format dxfId="29">
      <pivotArea outline="0" collapsedLevelsAreSubtotals="1" fieldPosition="0"/>
    </format>
    <format dxfId="30">
      <pivotArea dataOnly="0" labelOnly="1" outline="0" axis="axisValues" fieldPosition="0"/>
    </format>
  </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9F7500-67E0-4426-8AB7-5FBC93652E66}" name="TablaDinámica20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1">
  <location ref="CF7:CI31" firstHeaderRow="1" firstDataRow="2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3">
        <item x="0"/>
        <item x="1"/>
        <item t="default"/>
      </items>
    </pivotField>
    <pivotField showAll="0"/>
    <pivotField axis="axisRow" showAll="0">
      <items count="3">
        <item x="0"/>
        <item x="1"/>
        <item t="default"/>
      </items>
    </pivotField>
  </pivotFields>
  <rowFields count="2">
    <field x="2"/>
    <field x="9"/>
  </rowFields>
  <rowItems count="23">
    <i>
      <x v="2"/>
    </i>
    <i r="1">
      <x/>
    </i>
    <i>
      <x v="3"/>
    </i>
    <i r="1">
      <x/>
    </i>
    <i>
      <x v="11"/>
    </i>
    <i r="1">
      <x v="1"/>
    </i>
    <i>
      <x v="15"/>
    </i>
    <i r="1">
      <x v="1"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 t="grand">
      <x/>
    </i>
  </rowItems>
  <colFields count="1">
    <field x="7"/>
  </colFields>
  <colItems count="3">
    <i>
      <x/>
    </i>
    <i>
      <x v="1"/>
    </i>
    <i t="grand">
      <x/>
    </i>
  </colItems>
  <pageFields count="1">
    <pageField fld="1" item="0" hier="-1"/>
  </pageFields>
  <dataFields count="1">
    <dataField name="Suma de Cantidad" fld="3" baseField="0" baseItem="0"/>
  </dataFields>
  <formats count="2">
    <format dxfId="27">
      <pivotArea outline="0" collapsedLevelsAreSubtotals="1" fieldPosition="0"/>
    </format>
    <format dxfId="28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2C3C2-D352-4DDF-9465-187F05ECB97B}" name="TablaDinámica5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AG7:AH10" firstHeaderRow="1" firstDataRow="1" firstDataCol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a de Cantidad" fld="3" baseField="0" baseItem="0" numFmtId="167"/>
  </dataFields>
  <formats count="2">
    <format dxfId="25">
      <pivotArea outline="0" collapsedLevelsAreSubtotals="1" fieldPosition="0"/>
    </format>
    <format dxfId="26">
      <pivotArea dataOnly="0" labelOnly="1" outline="0" axis="axisValues" fieldPosition="0"/>
    </format>
  </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63F45-9F71-43C4-9E9C-74E12C8A2A64}" name="TablaDinámica8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BB7:BB76" firstHeaderRow="1" firstDataRow="1" firstDataCol="1" rowPageCount="2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numFmtId="167" showAll="0"/>
    <pivotField showAll="0"/>
    <pivotField axis="axisRow" showAll="0">
      <items count="217">
        <item x="191"/>
        <item x="187"/>
        <item x="148"/>
        <item x="181"/>
        <item x="170"/>
        <item x="212"/>
        <item x="159"/>
        <item x="176"/>
        <item x="201"/>
        <item x="165"/>
        <item x="196"/>
        <item x="143"/>
        <item x="207"/>
        <item x="154"/>
        <item x="177"/>
        <item x="166"/>
        <item x="155"/>
        <item x="188"/>
        <item x="208"/>
        <item x="144"/>
        <item x="197"/>
        <item x="184"/>
        <item x="123"/>
        <item x="158"/>
        <item x="162"/>
        <item x="204"/>
        <item x="151"/>
        <item x="215"/>
        <item x="200"/>
        <item x="113"/>
        <item x="180"/>
        <item x="133"/>
        <item x="169"/>
        <item x="147"/>
        <item x="211"/>
        <item x="173"/>
        <item x="23"/>
        <item x="185"/>
        <item x="160"/>
        <item x="192"/>
        <item x="213"/>
        <item x="53"/>
        <item x="13"/>
        <item x="202"/>
        <item x="182"/>
        <item x="171"/>
        <item x="149"/>
        <item x="33"/>
        <item x="3"/>
        <item x="43"/>
        <item x="141"/>
        <item x="93"/>
        <item x="63"/>
        <item x="73"/>
        <item x="83"/>
        <item x="152"/>
        <item x="163"/>
        <item x="145"/>
        <item x="190"/>
        <item x="174"/>
        <item x="194"/>
        <item x="179"/>
        <item x="186"/>
        <item x="199"/>
        <item x="157"/>
        <item x="198"/>
        <item x="175"/>
        <item x="153"/>
        <item x="146"/>
        <item x="195"/>
        <item x="168"/>
        <item x="189"/>
        <item x="205"/>
        <item x="178"/>
        <item x="210"/>
        <item x="142"/>
        <item x="156"/>
        <item x="167"/>
        <item x="164"/>
        <item x="103"/>
        <item x="206"/>
        <item x="209"/>
        <item x="7"/>
        <item x="117"/>
        <item x="127"/>
        <item x="27"/>
        <item x="17"/>
        <item x="22"/>
        <item x="72"/>
        <item x="87"/>
        <item x="32"/>
        <item x="112"/>
        <item x="132"/>
        <item x="77"/>
        <item x="37"/>
        <item x="122"/>
        <item x="12"/>
        <item x="92"/>
        <item x="102"/>
        <item x="62"/>
        <item x="42"/>
        <item x="97"/>
        <item x="137"/>
        <item x="1"/>
        <item x="21"/>
        <item x="31"/>
        <item x="121"/>
        <item x="82"/>
        <item x="0"/>
        <item x="81"/>
        <item x="52"/>
        <item x="11"/>
        <item x="91"/>
        <item x="111"/>
        <item x="128"/>
        <item x="101"/>
        <item x="131"/>
        <item x="47"/>
        <item x="71"/>
        <item x="61"/>
        <item x="51"/>
        <item x="41"/>
        <item x="67"/>
        <item x="130"/>
        <item x="98"/>
        <item x="120"/>
        <item x="30"/>
        <item x="20"/>
        <item x="85"/>
        <item x="57"/>
        <item x="138"/>
        <item x="161"/>
        <item x="10"/>
        <item x="28"/>
        <item x="35"/>
        <item x="115"/>
        <item x="183"/>
        <item x="135"/>
        <item x="55"/>
        <item x="150"/>
        <item x="203"/>
        <item x="100"/>
        <item x="18"/>
        <item x="214"/>
        <item x="140"/>
        <item x="193"/>
        <item x="78"/>
        <item x="5"/>
        <item x="88"/>
        <item x="80"/>
        <item x="15"/>
        <item x="125"/>
        <item x="95"/>
        <item x="40"/>
        <item x="75"/>
        <item x="25"/>
        <item x="172"/>
        <item x="45"/>
        <item x="107"/>
        <item x="65"/>
        <item x="105"/>
        <item x="118"/>
        <item x="48"/>
        <item x="38"/>
        <item x="8"/>
        <item x="90"/>
        <item x="50"/>
        <item x="70"/>
        <item x="108"/>
        <item x="68"/>
        <item x="60"/>
        <item x="84"/>
        <item x="110"/>
        <item x="94"/>
        <item x="116"/>
        <item x="14"/>
        <item x="26"/>
        <item x="119"/>
        <item x="136"/>
        <item x="139"/>
        <item x="58"/>
        <item x="34"/>
        <item x="36"/>
        <item x="56"/>
        <item x="99"/>
        <item x="19"/>
        <item x="54"/>
        <item x="39"/>
        <item x="129"/>
        <item x="4"/>
        <item x="126"/>
        <item x="9"/>
        <item x="79"/>
        <item x="16"/>
        <item x="64"/>
        <item x="44"/>
        <item x="69"/>
        <item x="29"/>
        <item x="59"/>
        <item x="114"/>
        <item x="46"/>
        <item x="74"/>
        <item x="49"/>
        <item x="124"/>
        <item x="96"/>
        <item x="66"/>
        <item x="89"/>
        <item x="109"/>
        <item x="106"/>
        <item x="24"/>
        <item x="134"/>
        <item x="6"/>
        <item x="76"/>
        <item x="104"/>
        <item x="86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5"/>
  </rowFields>
  <rowItems count="69">
    <i>
      <x/>
    </i>
    <i>
      <x v="2"/>
    </i>
    <i>
      <x v="3"/>
    </i>
    <i>
      <x v="4"/>
    </i>
    <i>
      <x v="5"/>
    </i>
    <i>
      <x v="6"/>
    </i>
    <i>
      <x v="8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30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50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1"/>
    </i>
    <i>
      <x v="131"/>
    </i>
    <i>
      <x v="136"/>
    </i>
    <i>
      <x v="139"/>
    </i>
    <i>
      <x v="140"/>
    </i>
    <i>
      <x v="143"/>
    </i>
    <i>
      <x v="145"/>
    </i>
    <i>
      <x v="156"/>
    </i>
    <i t="grand">
      <x/>
    </i>
  </rowItems>
  <colItems count="1">
    <i/>
  </colItems>
  <pageFields count="2">
    <pageField fld="7" item="0" hier="-1"/>
    <pageField fld="1" item="1" hier="-1"/>
  </pageFields>
  <formats count="2">
    <format dxfId="23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DC24BC-BF54-49E8-98A6-ACD1FF130DE5}" name="TablaDinámica3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4">
  <location ref="Z9:Z10" firstHeaderRow="1" firstDataRow="1" firstDataCol="0" rowPageCount="1" colPageCount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showAll="0"/>
    <pivotField showAll="0"/>
    <pivotField numFmtId="167" showAll="0"/>
    <pivotField dataField="1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7" item="0" hier="-1"/>
  </pageFields>
  <dataFields count="1">
    <dataField name="Suma de Minutos" fld="4" baseField="0" baseItem="0"/>
  </dataFields>
  <formats count="1">
    <format dxfId="22">
      <pivotArea outline="0" collapsedLevelsAreSubtotals="1" fieldPosition="0"/>
    </format>
  </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913A72-CE5C-4738-9024-5DE9E530FA8A}" name="TablaDinámica4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4">
  <location ref="AC9:AD20" firstHeaderRow="1" firstDataRow="1" firstDataCol="1" rowPageCount="1" colPageCount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showAll="0"/>
    <pivotField showAll="0"/>
    <pivotField numFmtId="167" showAll="0"/>
    <pivotField showAll="0"/>
    <pivotField axis="axisRow" dataField="1" showAll="0">
      <items count="217">
        <item x="191"/>
        <item x="187"/>
        <item x="148"/>
        <item x="181"/>
        <item x="170"/>
        <item x="212"/>
        <item x="159"/>
        <item x="176"/>
        <item x="201"/>
        <item x="165"/>
        <item x="196"/>
        <item x="143"/>
        <item x="207"/>
        <item x="154"/>
        <item x="177"/>
        <item x="166"/>
        <item x="155"/>
        <item x="188"/>
        <item x="208"/>
        <item x="144"/>
        <item x="197"/>
        <item x="184"/>
        <item x="123"/>
        <item x="158"/>
        <item x="162"/>
        <item x="204"/>
        <item x="151"/>
        <item x="215"/>
        <item x="200"/>
        <item x="113"/>
        <item x="180"/>
        <item x="133"/>
        <item x="169"/>
        <item x="147"/>
        <item x="211"/>
        <item x="173"/>
        <item x="23"/>
        <item x="185"/>
        <item x="160"/>
        <item x="192"/>
        <item x="213"/>
        <item x="53"/>
        <item x="13"/>
        <item x="202"/>
        <item x="182"/>
        <item x="171"/>
        <item x="149"/>
        <item x="33"/>
        <item x="3"/>
        <item x="43"/>
        <item x="141"/>
        <item x="93"/>
        <item x="63"/>
        <item x="73"/>
        <item x="83"/>
        <item x="152"/>
        <item x="163"/>
        <item x="145"/>
        <item x="190"/>
        <item x="174"/>
        <item x="194"/>
        <item x="179"/>
        <item x="186"/>
        <item x="199"/>
        <item x="157"/>
        <item x="198"/>
        <item x="175"/>
        <item x="153"/>
        <item x="146"/>
        <item x="195"/>
        <item x="168"/>
        <item x="189"/>
        <item x="205"/>
        <item x="178"/>
        <item x="210"/>
        <item x="142"/>
        <item x="156"/>
        <item x="167"/>
        <item x="164"/>
        <item x="103"/>
        <item x="206"/>
        <item x="209"/>
        <item x="7"/>
        <item x="117"/>
        <item x="127"/>
        <item x="27"/>
        <item x="17"/>
        <item x="22"/>
        <item x="72"/>
        <item x="87"/>
        <item x="32"/>
        <item x="112"/>
        <item x="132"/>
        <item x="77"/>
        <item x="37"/>
        <item x="122"/>
        <item x="12"/>
        <item x="92"/>
        <item x="102"/>
        <item x="62"/>
        <item x="42"/>
        <item x="97"/>
        <item x="137"/>
        <item x="1"/>
        <item x="21"/>
        <item x="31"/>
        <item x="121"/>
        <item x="82"/>
        <item x="0"/>
        <item x="81"/>
        <item x="52"/>
        <item x="11"/>
        <item x="91"/>
        <item x="111"/>
        <item x="128"/>
        <item x="101"/>
        <item x="131"/>
        <item x="47"/>
        <item x="71"/>
        <item x="61"/>
        <item x="51"/>
        <item x="41"/>
        <item x="67"/>
        <item x="130"/>
        <item x="98"/>
        <item x="120"/>
        <item x="30"/>
        <item x="20"/>
        <item x="85"/>
        <item x="57"/>
        <item x="138"/>
        <item x="161"/>
        <item x="10"/>
        <item x="28"/>
        <item x="35"/>
        <item x="115"/>
        <item x="183"/>
        <item x="135"/>
        <item x="55"/>
        <item x="150"/>
        <item x="203"/>
        <item x="100"/>
        <item x="18"/>
        <item x="214"/>
        <item x="140"/>
        <item x="193"/>
        <item x="78"/>
        <item x="5"/>
        <item x="88"/>
        <item x="80"/>
        <item x="15"/>
        <item x="125"/>
        <item x="95"/>
        <item x="40"/>
        <item x="75"/>
        <item x="25"/>
        <item x="172"/>
        <item x="45"/>
        <item x="107"/>
        <item x="65"/>
        <item x="105"/>
        <item x="118"/>
        <item x="48"/>
        <item x="38"/>
        <item x="8"/>
        <item x="90"/>
        <item x="50"/>
        <item x="70"/>
        <item x="108"/>
        <item x="68"/>
        <item x="60"/>
        <item x="84"/>
        <item x="110"/>
        <item x="94"/>
        <item x="116"/>
        <item x="14"/>
        <item x="26"/>
        <item x="119"/>
        <item x="136"/>
        <item x="139"/>
        <item x="58"/>
        <item x="34"/>
        <item x="36"/>
        <item x="56"/>
        <item x="99"/>
        <item x="19"/>
        <item x="54"/>
        <item x="39"/>
        <item x="129"/>
        <item x="4"/>
        <item x="126"/>
        <item x="9"/>
        <item x="79"/>
        <item x="16"/>
        <item x="64"/>
        <item x="44"/>
        <item x="69"/>
        <item x="29"/>
        <item x="59"/>
        <item x="114"/>
        <item x="46"/>
        <item x="74"/>
        <item x="49"/>
        <item x="124"/>
        <item x="96"/>
        <item x="66"/>
        <item x="89"/>
        <item x="109"/>
        <item x="106"/>
        <item x="24"/>
        <item x="134"/>
        <item x="6"/>
        <item x="76"/>
        <item x="104"/>
        <item x="86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5"/>
  </rowFields>
  <rowItems count="11">
    <i>
      <x v="5"/>
    </i>
    <i>
      <x v="18"/>
    </i>
    <i>
      <x v="27"/>
    </i>
    <i>
      <x v="34"/>
    </i>
    <i>
      <x v="40"/>
    </i>
    <i>
      <x v="72"/>
    </i>
    <i>
      <x v="74"/>
    </i>
    <i>
      <x v="80"/>
    </i>
    <i>
      <x v="81"/>
    </i>
    <i>
      <x v="143"/>
    </i>
    <i t="grand">
      <x/>
    </i>
  </rowItems>
  <colItems count="1">
    <i/>
  </colItems>
  <pageFields count="1">
    <pageField fld="7" item="0" hier="-1"/>
  </pageFields>
  <dataFields count="1">
    <dataField name="Cuenta de Promedio Segundos" fld="5" subtotal="count" baseField="5" baseItem="4"/>
  </dataFields>
  <formats count="1">
    <format dxfId="21">
      <pivotArea outline="0" collapsedLevelsAreSubtotals="1" fieldPosition="0"/>
    </format>
  </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0A32-E430-4596-AA53-2590B1A65859}" name="TablaDinámica19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5">
  <location ref="BY7:BZ10" firstHeaderRow="1" firstDataRow="1" firstDataCol="1" rowPageCount="2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3">
    <i>
      <x v="11"/>
    </i>
    <i>
      <x v="15"/>
    </i>
    <i t="grand">
      <x/>
    </i>
  </rowItems>
  <colItems count="1">
    <i/>
  </colItems>
  <pageFields count="2">
    <pageField fld="1" item="0" hier="-1"/>
    <pageField fld="9" item="1" hier="-1"/>
  </pageFields>
  <dataFields count="1">
    <dataField name="Suma de Cantidad" fld="3" baseField="0" baseItem="0"/>
  </dataFields>
  <formats count="2">
    <format dxfId="19">
      <pivotArea outline="0" collapsedLevelsAreSubtotals="1" fieldPosition="0"/>
    </format>
    <format dxfId="20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70796-66E1-434B-AB46-0E29C7172FC1}" name="TablaDinámica11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B9:D14" firstHeaderRow="0" firstDataRow="1" firstDataCol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showAll="0"/>
    <pivotField showAll="0"/>
    <pivotField dataField="1" numFmtId="167" showAll="0"/>
    <pivotField dataField="1" showAll="0"/>
    <pivotField showAll="0"/>
    <pivotField axis="axisRow" showAll="0" sortType="ascending">
      <items count="7">
        <item x="2"/>
        <item x="0"/>
        <item x="3"/>
        <item x="1"/>
        <item m="1" x="4"/>
        <item m="1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6"/>
  </rowFields>
  <rowItems count="5">
    <i>
      <x v="1"/>
    </i>
    <i>
      <x/>
    </i>
    <i>
      <x v="3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3" baseField="0" baseItem="0"/>
    <dataField name="Suma de Minutos" fld="4" baseField="0" baseItem="0"/>
  </dataFields>
  <formats count="2">
    <format dxfId="17">
      <pivotArea outline="0" collapsedLevelsAreSubtotals="1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CD548-3C71-4A80-A2D9-1012542D538C}" name="TablaDinámica18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5">
  <location ref="BY34:BZ42" firstHeaderRow="1" firstDataRow="1" firstDataCol="1" rowPageCount="2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8">
    <i>
      <x/>
    </i>
    <i>
      <x v="1"/>
    </i>
    <i>
      <x v="4"/>
    </i>
    <i>
      <x v="5"/>
    </i>
    <i>
      <x v="8"/>
    </i>
    <i>
      <x v="9"/>
    </i>
    <i>
      <x v="12"/>
    </i>
    <i t="grand">
      <x/>
    </i>
  </rowItems>
  <colItems count="1">
    <i/>
  </colItems>
  <pageFields count="2">
    <pageField fld="1" hier="-1"/>
    <pageField fld="9" item="1" hier="-1"/>
  </pageFields>
  <dataFields count="1">
    <dataField name="Suma de Cantidad" fld="3" baseField="0" baseItem="0"/>
  </dataFields>
  <formats count="2">
    <format dxfId="15">
      <pivotArea outline="0" collapsedLevelsAreSubtotals="1" fieldPosition="0"/>
    </format>
    <format dxfId="16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90A5F-F310-415A-A03B-DEF7181AB635}" name="TablaDinámica23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0">
  <location ref="CT7:CV22" firstHeaderRow="0" firstDataRow="1" firstDataCol="1" rowPageCount="1" colPageCount="1"/>
  <pivotFields count="10">
    <pivotField axis="axisRow" numFmtId="168" showAll="0" sortType="ascending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a de Cantidad" fld="3" baseField="0" baseItem="0"/>
    <dataField name="Suma de Cantidad2" fld="3" baseField="0" baseItem="0"/>
  </dataFields>
  <formats count="2">
    <format dxfId="13">
      <pivotArea outline="0" collapsedLevelsAreSubtotals="1" fieldPosition="0"/>
    </format>
    <format dxfId="14">
      <pivotArea dataOnly="0" labelOnly="1" outline="0" axis="axisValues" fieldPosition="0"/>
    </format>
  </formats>
  <chartFormats count="2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0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4FDA4-78BA-4CBB-96BF-5553C7A7B213}" name="TablaDinámica2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7">
  <location ref="V9:X20" firstHeaderRow="0" firstDataRow="1" firstDataCol="1" rowPageCount="1" colPageCount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numFmtId="167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2"/>
  </rowFields>
  <rowItems count="11">
    <i>
      <x v="11"/>
    </i>
    <i>
      <x v="12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pageFields count="1">
    <pageField fld="7" item="0" hier="-1"/>
  </pageFields>
  <dataFields count="2">
    <dataField name="Registros" fld="3" baseField="0" baseItem="0"/>
    <dataField name="%" fld="3" showDataAs="percentOfTotal" baseField="2" baseItem="4" numFmtId="10"/>
  </dataFields>
  <formats count="2">
    <format dxfId="11">
      <pivotArea outline="0" collapsedLevelsAreSubtotals="1" fieldPosition="0"/>
    </format>
    <format dxfId="12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195D8-778C-4712-94D9-F072BEBDDFD9}" name="TablaDinámica6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AJ7:AL10" firstHeaderRow="0" firstDataRow="1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numFmtId="167" showAll="0"/>
    <pivotField dataField="1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7" item="0" hier="-1"/>
  </pageFields>
  <dataFields count="2">
    <dataField name="Suma de Cantidad" fld="3" baseField="0" baseItem="0" numFmtId="167"/>
    <dataField name="Suma de Minutos" fld="4" baseField="0" baseItem="0"/>
  </dataFields>
  <formats count="2">
    <format dxfId="9">
      <pivotArea outline="0" collapsedLevelsAreSubtotals="1" fieldPosition="0"/>
    </format>
    <format dxfId="10">
      <pivotArea dataOnly="0" labelOnly="1" outline="0" axis="axisValues" fieldPosition="0"/>
    </format>
  </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B49C6B-D529-42F6-B2EF-6E4907EDFF1D}" name="TablaDinámica22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0">
  <location ref="CP7:CR15" firstHeaderRow="0" firstDataRow="1" firstDataCol="1" rowPageCount="1" colPageCount="1"/>
  <pivotFields count="10">
    <pivotField axis="axisRow" numFmtId="168" showAll="0" sortType="ascending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8">
    <i>
      <x v="4"/>
    </i>
    <i>
      <x v="5"/>
    </i>
    <i>
      <x v="6"/>
    </i>
    <i>
      <x v="8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a de Cantidad" fld="3" baseField="0" baseItem="0"/>
    <dataField name="Suma de Cantidad2" fld="3" baseField="0" baseItem="0"/>
  </dataFields>
  <formats count="2">
    <format dxfId="7">
      <pivotArea outline="0" collapsedLevelsAreSubtotals="1" fieldPosition="0"/>
    </format>
    <format dxfId="8">
      <pivotArea dataOnly="0" labelOnly="1" outline="0" axis="axisValues" fieldPosition="0"/>
    </format>
  </formats>
  <chartFormats count="2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0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A9C5E2-5D13-4B88-903F-635CE2BF673D}" name="TablaDinámica10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3">
  <location ref="BH7:BI12" firstHeaderRow="1" firstDataRow="1" firstDataCol="1" rowPageCount="1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dataField="1" numFmtId="167" showAll="0"/>
    <pivotField showAll="0"/>
    <pivotField showAll="0"/>
    <pivotField axis="axisRow" showAll="0" sortType="descending">
      <items count="7">
        <item x="2"/>
        <item x="0"/>
        <item x="3"/>
        <item x="1"/>
        <item m="1" x="4"/>
        <item m="1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6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1" item="1" hier="-1"/>
  </pageFields>
  <dataFields count="1">
    <dataField name="Suma de Cantidad" fld="3" baseField="0" baseItem="0"/>
  </dataFields>
  <formats count="2">
    <format dxfId="5">
      <pivotArea outline="0" collapsedLevelsAreSubtotals="1" fieldPosition="0"/>
    </format>
    <format dxfId="6">
      <pivotArea dataOnly="0" labelOnly="1" outline="0" axis="axisValues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A1F73-F03A-4154-8A9A-C15D056F2CF0}" name="TablaDinámica7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AY7:AY148" firstHeaderRow="1" firstDataRow="1" firstDataCol="1" rowPageCount="2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numFmtId="167" showAll="0"/>
    <pivotField showAll="0"/>
    <pivotField axis="axisRow" showAll="0">
      <items count="217">
        <item x="191"/>
        <item x="187"/>
        <item x="148"/>
        <item x="181"/>
        <item x="170"/>
        <item x="212"/>
        <item x="159"/>
        <item x="176"/>
        <item x="201"/>
        <item x="165"/>
        <item x="196"/>
        <item x="143"/>
        <item x="207"/>
        <item x="154"/>
        <item x="177"/>
        <item x="166"/>
        <item x="155"/>
        <item x="188"/>
        <item x="208"/>
        <item x="144"/>
        <item x="197"/>
        <item x="184"/>
        <item x="123"/>
        <item x="158"/>
        <item x="162"/>
        <item x="204"/>
        <item x="151"/>
        <item x="215"/>
        <item x="200"/>
        <item x="113"/>
        <item x="180"/>
        <item x="133"/>
        <item x="169"/>
        <item x="147"/>
        <item x="211"/>
        <item x="173"/>
        <item x="23"/>
        <item x="185"/>
        <item x="160"/>
        <item x="192"/>
        <item x="213"/>
        <item x="53"/>
        <item x="13"/>
        <item x="202"/>
        <item x="182"/>
        <item x="171"/>
        <item x="149"/>
        <item x="33"/>
        <item x="3"/>
        <item x="43"/>
        <item x="141"/>
        <item x="93"/>
        <item x="63"/>
        <item x="73"/>
        <item x="83"/>
        <item x="152"/>
        <item x="163"/>
        <item x="145"/>
        <item x="190"/>
        <item x="174"/>
        <item x="194"/>
        <item x="179"/>
        <item x="186"/>
        <item x="199"/>
        <item x="157"/>
        <item x="198"/>
        <item x="175"/>
        <item x="153"/>
        <item x="146"/>
        <item x="195"/>
        <item x="168"/>
        <item x="189"/>
        <item x="205"/>
        <item x="178"/>
        <item x="210"/>
        <item x="142"/>
        <item x="156"/>
        <item x="167"/>
        <item x="164"/>
        <item x="103"/>
        <item x="206"/>
        <item x="209"/>
        <item x="7"/>
        <item x="117"/>
        <item x="127"/>
        <item x="27"/>
        <item x="17"/>
        <item x="22"/>
        <item x="72"/>
        <item x="87"/>
        <item x="32"/>
        <item x="112"/>
        <item x="132"/>
        <item x="77"/>
        <item x="37"/>
        <item x="122"/>
        <item x="12"/>
        <item x="92"/>
        <item x="102"/>
        <item x="62"/>
        <item x="42"/>
        <item x="97"/>
        <item x="137"/>
        <item x="1"/>
        <item x="21"/>
        <item x="31"/>
        <item x="121"/>
        <item x="82"/>
        <item x="0"/>
        <item x="81"/>
        <item x="52"/>
        <item x="11"/>
        <item x="91"/>
        <item x="111"/>
        <item x="128"/>
        <item x="101"/>
        <item x="131"/>
        <item x="47"/>
        <item x="71"/>
        <item x="61"/>
        <item x="51"/>
        <item x="41"/>
        <item x="67"/>
        <item x="130"/>
        <item x="98"/>
        <item x="120"/>
        <item x="30"/>
        <item x="20"/>
        <item x="85"/>
        <item x="57"/>
        <item x="138"/>
        <item x="161"/>
        <item x="10"/>
        <item x="28"/>
        <item x="35"/>
        <item x="115"/>
        <item x="183"/>
        <item x="135"/>
        <item x="55"/>
        <item x="150"/>
        <item x="203"/>
        <item x="100"/>
        <item x="18"/>
        <item x="214"/>
        <item x="140"/>
        <item x="193"/>
        <item x="78"/>
        <item x="5"/>
        <item x="88"/>
        <item x="80"/>
        <item x="15"/>
        <item x="125"/>
        <item x="95"/>
        <item x="40"/>
        <item x="75"/>
        <item x="25"/>
        <item x="172"/>
        <item x="45"/>
        <item x="107"/>
        <item x="65"/>
        <item x="105"/>
        <item x="118"/>
        <item x="48"/>
        <item x="38"/>
        <item x="8"/>
        <item x="90"/>
        <item x="50"/>
        <item x="70"/>
        <item x="108"/>
        <item x="68"/>
        <item x="60"/>
        <item x="84"/>
        <item x="110"/>
        <item x="94"/>
        <item x="116"/>
        <item x="14"/>
        <item x="26"/>
        <item x="119"/>
        <item x="136"/>
        <item x="139"/>
        <item x="58"/>
        <item x="34"/>
        <item x="36"/>
        <item x="56"/>
        <item x="99"/>
        <item x="19"/>
        <item x="54"/>
        <item x="39"/>
        <item x="129"/>
        <item x="4"/>
        <item x="126"/>
        <item x="9"/>
        <item x="79"/>
        <item x="16"/>
        <item x="64"/>
        <item x="44"/>
        <item x="69"/>
        <item x="29"/>
        <item x="59"/>
        <item x="114"/>
        <item x="46"/>
        <item x="74"/>
        <item x="49"/>
        <item x="124"/>
        <item x="96"/>
        <item x="66"/>
        <item x="89"/>
        <item x="109"/>
        <item x="106"/>
        <item x="24"/>
        <item x="134"/>
        <item x="6"/>
        <item x="76"/>
        <item x="104"/>
        <item x="86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5"/>
  </rowFields>
  <rowItems count="141">
    <i>
      <x v="22"/>
    </i>
    <i>
      <x v="29"/>
    </i>
    <i>
      <x v="31"/>
    </i>
    <i>
      <x v="36"/>
    </i>
    <i>
      <x v="41"/>
    </i>
    <i>
      <x v="42"/>
    </i>
    <i>
      <x v="47"/>
    </i>
    <i>
      <x v="48"/>
    </i>
    <i>
      <x v="49"/>
    </i>
    <i>
      <x v="51"/>
    </i>
    <i>
      <x v="52"/>
    </i>
    <i>
      <x v="53"/>
    </i>
    <i>
      <x v="54"/>
    </i>
    <i>
      <x v="79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2"/>
    </i>
    <i>
      <x v="133"/>
    </i>
    <i>
      <x v="134"/>
    </i>
    <i>
      <x v="135"/>
    </i>
    <i>
      <x v="137"/>
    </i>
    <i>
      <x v="138"/>
    </i>
    <i>
      <x v="141"/>
    </i>
    <i>
      <x v="142"/>
    </i>
    <i>
      <x v="144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 t="grand">
      <x/>
    </i>
  </rowItems>
  <colItems count="1">
    <i/>
  </colItems>
  <pageFields count="2">
    <pageField fld="7" item="0" hier="-1"/>
    <pageField fld="1" item="0" hier="-1"/>
  </pageFields>
  <formats count="2">
    <format dxfId="3">
      <pivotArea outline="0" collapsedLevelsAreSubtotals="1" fieldPosition="0"/>
    </format>
    <format dxfId="4">
      <pivotArea dataOnly="0" labelOnly="1" outline="0" axis="axisValues" fieldPosition="0"/>
    </format>
  </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BB1934-9F75-409E-816B-B21E49500C5D}" name="TablaDinámica17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4">
  <location ref="CB34:CC41" firstHeaderRow="1" firstDataRow="1" firstDataCol="1" rowPageCount="2" colPageCount="1"/>
  <pivotFields count="10">
    <pivotField numFmtId="168"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showAll="0">
      <items count="25">
        <item x="11"/>
        <item x="12"/>
        <item x="0"/>
        <item x="1"/>
        <item x="13"/>
        <item x="14"/>
        <item x="15"/>
        <item x="16"/>
        <item x="23"/>
        <item x="17"/>
        <item x="18"/>
        <item x="2"/>
        <item x="19"/>
        <item x="20"/>
        <item x="21"/>
        <item x="3"/>
        <item x="4"/>
        <item x="5"/>
        <item x="6"/>
        <item x="7"/>
        <item x="8"/>
        <item x="9"/>
        <item x="10"/>
        <item x="22"/>
        <item t="default"/>
      </items>
    </pivotField>
    <pivotField dataField="1" numFmtId="167"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7">
    <i>
      <x v="6"/>
    </i>
    <i>
      <x v="7"/>
    </i>
    <i>
      <x v="10"/>
    </i>
    <i>
      <x v="13"/>
    </i>
    <i>
      <x v="14"/>
    </i>
    <i>
      <x v="23"/>
    </i>
    <i t="grand">
      <x/>
    </i>
  </rowItems>
  <colItems count="1">
    <i/>
  </colItems>
  <pageFields count="2">
    <pageField fld="1" hier="-1"/>
    <pageField fld="9" item="0" hier="-1"/>
  </pageFields>
  <dataFields count="1">
    <dataField name="Suma de Cantidad" fld="3" baseField="0" baseItem="0"/>
  </dataFields>
  <formats count="2">
    <format dxfId="1">
      <pivotArea outline="0" collapsedLevelsAreSubtotals="1" fieldPosition="0"/>
    </format>
    <format dxfId="2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filters count="1">
    <filter fld="0" type="dateBetween" evalOrder="-1" id="252" name="FECHA">
      <autoFilter ref="A1">
        <filterColumn colId="0">
          <customFilters and="1">
            <customFilter operator="greaterThanOrEqual" val="45352"/>
            <customFilter operator="lessThanOrEqual" val="453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874162-6285-4CAB-9DE2-2BF849167508}" name="TablaDinámica13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H9:I12" firstHeaderRow="1" firstDataRow="1" firstDataCol="1"/>
  <pivotFields count="10">
    <pivotField showAll="0">
      <items count="22">
        <item x="0"/>
        <item x="1"/>
        <item x="2"/>
        <item x="3"/>
        <item x="14"/>
        <item x="15"/>
        <item x="16"/>
        <item x="4"/>
        <item x="5"/>
        <item x="6"/>
        <item x="7"/>
        <item x="8"/>
        <item x="9"/>
        <item x="10"/>
        <item x="11"/>
        <item x="12"/>
        <item x="13"/>
        <item x="17"/>
        <item x="18"/>
        <item x="19"/>
        <item m="1" x="20"/>
        <item t="default"/>
      </items>
    </pivotField>
    <pivotField showAll="0"/>
    <pivotField showAll="0"/>
    <pivotField dataField="1" numFmtId="167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Suma de Cantidad" fld="3" baseField="0" baseItem="0"/>
  </dataFields>
  <formats count="1">
    <format dxfId="0">
      <pivotArea outline="0" collapsedLevelsAreSubtotals="1" fieldPosition="0"/>
    </format>
  </formats>
  <pivotTableStyleInfo name="PivotStyleMedium6" showRowHeaders="1" showColHeaders="1" showRowStripes="0" showColStripes="0" showLastColumn="1"/>
  <filters count="1">
    <filter fld="0" type="dateEqual" evalOrder="-1" id="837" name="FECHA">
      <autoFilter ref="A1">
        <filterColumn colId="0">
          <customFilters>
            <customFilter val="4537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88DC1F-6099-4C03-8E00-31344F2D2D85}" name="Tabla4" displayName="Tabla4" ref="BK24:BL48" totalsRowShown="0" headerRowDxfId="77" dataDxfId="76">
  <autoFilter ref="BK24:BL48" xr:uid="{FD88DC1F-6099-4C03-8E00-31344F2D2D85}"/>
  <sortState xmlns:xlrd2="http://schemas.microsoft.com/office/spreadsheetml/2017/richdata2" ref="BK25:BL48">
    <sortCondition ref="BK24:BK48"/>
  </sortState>
  <tableColumns count="2">
    <tableColumn id="1" xr3:uid="{8A523051-D768-4D4F-990A-BDAD0DD501BD}" name="SUBTIPOLOGÍA" dataDxfId="75"/>
    <tableColumn id="2" xr3:uid="{2817B6A5-1784-44FD-BCC4-4837D7A1549E}" name="CANTIDAD" dataDxfId="74" dataCellStyle="Millares">
      <calculatedColumnFormula>IFERROR(VLOOKUP(BK25,$BN$8:$BO$21,2,0),0)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5B6263-C916-44BB-A77E-51F822D04599}" name="Tabla1" displayName="Tabla1" ref="A1:J236" headerRowDxfId="73">
  <sortState xmlns:xlrd2="http://schemas.microsoft.com/office/spreadsheetml/2017/richdata2" ref="A2:H2">
    <sortCondition ref="A1:A2"/>
  </sortState>
  <tableColumns count="10">
    <tableColumn id="1" xr3:uid="{F68AD783-8E40-4B88-8820-B40093B44FA9}" name="FECHA" dataDxfId="72" totalsRowDxfId="71"/>
    <tableColumn id="2" xr3:uid="{79E253E2-54C4-4EE4-97F6-5C684901792A}" name="BOT" dataDxfId="70" totalsRowDxfId="69"/>
    <tableColumn id="7" xr3:uid="{3B52BF34-CDC3-4354-B25B-F43BE17A392D}" name="Subtipología" dataDxfId="68"/>
    <tableColumn id="4" xr3:uid="{080EBE78-1E6B-41AA-95EA-4467D097B4DE}" name="Cantidad" dataDxfId="67" dataCellStyle="Millares"/>
    <tableColumn id="5" xr3:uid="{7FE0D33D-1530-45E8-B9CB-EB143F649F9D}" name="Minutos" dataDxfId="66" dataCellStyle="Millares"/>
    <tableColumn id="10" xr3:uid="{40489783-3603-40BD-93EF-829361D105E2}" name="Promedio Segundos" dataDxfId="65" dataCellStyle="Millares"/>
    <tableColumn id="3" xr3:uid="{AC7A0E30-C271-477B-BE88-B89E7AFC16BE}" name="Tipificación" dataDxfId="64" dataCellStyle="Millares">
      <calculatedColumnFormula>IF(ISBLANK(Tabla1[[#This Row],[BOT]]),"",IF(Tabla1[[#This Row],[BOT]]="Servicebots",VLOOKUP(Tabla1[[#This Row],[Subtipología]],' '!$Q$3:$R$13,2,0),IFERROR(VLOOKUP(Tabla1[[#This Row],[Subtipología]],' '!$Q$16:$R$25,2,0),"ERROR")))</calculatedColumnFormula>
    </tableColumn>
    <tableColumn id="6" xr3:uid="{C10D08A2-8239-4273-A21E-B847E39C2832}" name="Contactabilidad" dataDxfId="63">
      <calculatedColumnFormula>IF(Tabla1[[#This Row],[FILTER_1]]="CONTES","EFECTIVO","NO EFECTIVO")</calculatedColumnFormula>
    </tableColumn>
    <tableColumn id="8" xr3:uid="{045C882D-10AF-4482-BFA8-3FA2CCD7EE26}" name="FILTER_1" dataDxfId="62">
      <calculatedColumnFormula>LEFT(Tabla1[[#This Row],[Tipificación]],6)</calculatedColumnFormula>
    </tableColumn>
    <tableColumn id="9" xr3:uid="{FEB09A14-D571-47D4-B69C-EBA646F20F8D}" name="Interacción" dataDxfId="61">
      <calculatedColumnFormula>IFERROR(VLOOKUP(Tabla1[[#This Row],[Subtipología]],' '!BU:BV,2,0),"NO EFECTIVA")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138FE9-E7B3-4383-8FFB-1CB0EE8B4EA1}" name="Tabla2" displayName="Tabla2" ref="C18:E21" totalsRowCount="1" headerRowDxfId="60" dataDxfId="59" totalsRowDxfId="58">
  <tableColumns count="3">
    <tableColumn id="1" xr3:uid="{5573AF2B-12DC-4982-B3AC-4919CC69D40D}" name="CONTACTABILIDAD" dataDxfId="57" totalsRowDxfId="56"/>
    <tableColumn id="2" xr3:uid="{D05126C0-7C3D-453E-9A62-215E8DAC863F}" name="REGISTROS" dataDxfId="55" totalsRowDxfId="54" dataCellStyle="Millares">
      <calculatedColumnFormula>' '!I4</calculatedColumnFormula>
    </tableColumn>
    <tableColumn id="3" xr3:uid="{A506ABF6-B263-4701-9C3C-DEA9E9D9EBDB}" name="%" dataDxfId="53" totalsRowDxfId="52" dataCellStyle="Porcentaje">
      <calculatedColumnFormula>IFERROR(((Tabla2[[#This Row],[REGISTROS]]*100)/$B$1)/100,0)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C1012E-18DE-451D-AB61-DFA9B9C0B1DB}" name="Tabla24" displayName="Tabla24" ref="C10:E16" totalsRowCount="1" headerRowDxfId="51" dataDxfId="50" totalsRowDxfId="49">
  <sortState xmlns:xlrd2="http://schemas.microsoft.com/office/spreadsheetml/2017/richdata2" ref="C11:E15">
    <sortCondition descending="1" ref="D10:D15"/>
  </sortState>
  <tableColumns count="3">
    <tableColumn id="1" xr3:uid="{F7A11F02-7E76-4314-A7C0-C831B06DC368}" name="ESTADOS" dataDxfId="48" totalsRowDxfId="47">
      <calculatedColumnFormula>IFERROR(VLOOKUP(B11,' '!$A$2:$D$6,2,0),"-")</calculatedColumnFormula>
    </tableColumn>
    <tableColumn id="2" xr3:uid="{037F8DB9-281A-467B-AFA8-708D59954920}" name="REGISTROS" dataDxfId="46" totalsRowDxfId="45" dataCellStyle="Millares">
      <calculatedColumnFormula>IFERROR(VLOOKUP(Tabla24[[#This Row],[ESTADOS]],' '!$B$2:$D$6,2,0),0)</calculatedColumnFormula>
    </tableColumn>
    <tableColumn id="3" xr3:uid="{D6A0DF2C-30DA-41DD-983C-91B07EF4EBDC}" name="%" dataDxfId="44" totalsRowDxfId="43" dataCellStyle="Porcentaje">
      <calculatedColumnFormula>IFERROR(((Tabla24[[#This Row],[REGISTROS]]*100)/$C$1)/100,0)</calculatedColumnFormula>
    </tableColumn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25E1A34-D736-49F9-AE35-EFA86A5C774B}" sourceName="FECHA">
  <pivotTables>
    <pivotTable tabId="10" name="TablaDinámica11"/>
    <pivotTable tabId="10" name="TablaDinámica13"/>
    <pivotTable tabId="10" name="TablaDinámica14"/>
    <pivotTable tabId="10" name="TablaDinámica15"/>
    <pivotTable tabId="10" name="TablaDinámica2"/>
    <pivotTable tabId="10" name="TablaDinámica3"/>
    <pivotTable tabId="10" name="TablaDinámica4"/>
  </pivotTables>
  <state minimalRefreshVersion="6" lastRefreshVersion="6" pivotCacheId="518031653" filterType="dateEqual">
    <selection startDate="2024-03-28T00:00:00" endDate="2024-03-28T00:00:00"/>
    <bounds startDate="2024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B2DEB21-7DB0-4159-9A7A-FEB51DB220F2}" sourceName="FECHA">
  <pivotTables>
    <pivotTable tabId="10" name="TablaDinámica5"/>
    <pivotTable tabId="10" name="TablaDinámica6"/>
    <pivotTable tabId="10" name="TablaDinámica7"/>
    <pivotTable tabId="10" name="TablaDinámica8"/>
    <pivotTable tabId="10" name="TablaDinámica9"/>
    <pivotTable tabId="10" name="TablaDinámica10"/>
    <pivotTable tabId="10" name="TablaDinámica12"/>
    <pivotTable tabId="10" name="TablaDinámica16"/>
    <pivotTable tabId="10" name="TablaDinámica1"/>
    <pivotTable tabId="10" name="TablaDinámica17"/>
    <pivotTable tabId="10" name="TablaDinámica18"/>
    <pivotTable tabId="10" name="TablaDinámica19"/>
    <pivotTable tabId="10" name="TablaDinámica20"/>
    <pivotTable tabId="10" name="TablaDinámica21"/>
    <pivotTable tabId="10" name="TablaDinámica22"/>
    <pivotTable tabId="10" name="TablaDinámica23"/>
  </pivotTables>
  <state minimalRefreshVersion="6" lastRefreshVersion="6" pivotCacheId="518031653" filterType="dateBetween">
    <selection startDate="2024-03-01T00:00:00" endDate="2024-03-31T00:00:00"/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611FD96-BE75-4139-AECA-8D089330C56C}" cache="NativeTimeline_FECHA" caption="FECHA" showHeader="0" showSelectionLabel="0" showTimeLevel="0" level="3" selectionLevel="3" scrollPosition="2024-03-28T00:00:00" style="TimeSlicerStyleDark1 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A191EFE0-0034-4AD4-BBBB-D5F0283E2DFC}" cache="NativeTimeline_FECHA1" caption="FECHA" showHeader="0" showSelectionLabel="0" showTimeLevel="0" level="2" selectionLevel="2" scrollPosition="2024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2E8A2-FE36-471F-82ED-E01C467F5E6F}">
  <sheetPr codeName="Hoja8"/>
  <dimension ref="A1:CV148"/>
  <sheetViews>
    <sheetView showGridLines="0" showRowColHeaders="0" topLeftCell="A43" workbookViewId="0">
      <selection activeCell="C61" sqref="C61"/>
    </sheetView>
  </sheetViews>
  <sheetFormatPr baseColWidth="10" defaultRowHeight="15" x14ac:dyDescent="0.25"/>
  <cols>
    <col min="1" max="1" width="8" customWidth="1"/>
    <col min="2" max="2" width="24.28515625" bestFit="1" customWidth="1"/>
    <col min="3" max="3" width="18.42578125" style="7" bestFit="1" customWidth="1"/>
    <col min="4" max="4" width="17.85546875" style="7" bestFit="1" customWidth="1"/>
    <col min="5" max="5" width="12" bestFit="1" customWidth="1"/>
    <col min="8" max="8" width="17.5703125" bestFit="1" customWidth="1"/>
    <col min="9" max="9" width="17" bestFit="1" customWidth="1"/>
    <col min="10" max="10" width="24.5703125" bestFit="1" customWidth="1"/>
    <col min="11" max="11" width="17.5703125" bestFit="1" customWidth="1"/>
    <col min="12" max="12" width="18.42578125" style="7" bestFit="1" customWidth="1"/>
    <col min="14" max="14" width="24.28515625" bestFit="1" customWidth="1"/>
    <col min="15" max="15" width="16.42578125" bestFit="1" customWidth="1"/>
    <col min="17" max="17" width="40.28515625" bestFit="1" customWidth="1"/>
    <col min="22" max="22" width="17.5703125" bestFit="1" customWidth="1"/>
    <col min="23" max="23" width="11.7109375" bestFit="1" customWidth="1"/>
    <col min="24" max="24" width="8.140625" bestFit="1" customWidth="1"/>
    <col min="26" max="26" width="16.42578125" bestFit="1" customWidth="1"/>
    <col min="27" max="27" width="11.7109375" bestFit="1" customWidth="1"/>
    <col min="28" max="28" width="16.42578125" bestFit="1" customWidth="1"/>
    <col min="29" max="29" width="17.5703125" bestFit="1" customWidth="1"/>
    <col min="30" max="30" width="28.5703125" bestFit="1" customWidth="1"/>
    <col min="33" max="33" width="17.5703125" bestFit="1" customWidth="1"/>
    <col min="34" max="34" width="18.42578125" style="7" bestFit="1" customWidth="1"/>
    <col min="35" max="35" width="18.42578125" style="7" customWidth="1"/>
    <col min="36" max="36" width="17.5703125" style="7" bestFit="1" customWidth="1"/>
    <col min="37" max="37" width="17" style="7" bestFit="1" customWidth="1"/>
    <col min="38" max="38" width="16.5703125" style="7" bestFit="1" customWidth="1"/>
    <col min="51" max="51" width="17.5703125" bestFit="1" customWidth="1"/>
    <col min="52" max="52" width="13.5703125" bestFit="1" customWidth="1"/>
    <col min="53" max="53" width="8.5703125" bestFit="1" customWidth="1"/>
    <col min="54" max="54" width="17.5703125" bestFit="1" customWidth="1"/>
    <col min="55" max="55" width="11.7109375" bestFit="1" customWidth="1"/>
    <col min="57" max="57" width="24.28515625" bestFit="1" customWidth="1"/>
    <col min="58" max="58" width="18.42578125" bestFit="1" customWidth="1"/>
    <col min="60" max="60" width="24.28515625" bestFit="1" customWidth="1"/>
    <col min="61" max="61" width="18.42578125" bestFit="1" customWidth="1"/>
    <col min="62" max="62" width="17" bestFit="1" customWidth="1"/>
    <col min="63" max="63" width="19.28515625" bestFit="1" customWidth="1"/>
    <col min="64" max="64" width="18.42578125" bestFit="1" customWidth="1"/>
    <col min="66" max="66" width="40.28515625" bestFit="1" customWidth="1"/>
    <col min="67" max="67" width="18.42578125" bestFit="1" customWidth="1"/>
    <col min="69" max="69" width="40.28515625" bestFit="1" customWidth="1"/>
    <col min="70" max="70" width="18.42578125" bestFit="1" customWidth="1"/>
    <col min="71" max="71" width="11.42578125" style="39"/>
    <col min="73" max="73" width="40.28515625" bestFit="1" customWidth="1"/>
    <col min="77" max="77" width="19.28515625" bestFit="1" customWidth="1"/>
    <col min="78" max="78" width="18.42578125" bestFit="1" customWidth="1"/>
    <col min="80" max="80" width="40.28515625" bestFit="1" customWidth="1"/>
    <col min="81" max="81" width="18.42578125" bestFit="1" customWidth="1"/>
    <col min="84" max="84" width="42.5703125" bestFit="1" customWidth="1"/>
    <col min="85" max="85" width="22.42578125" bestFit="1" customWidth="1"/>
    <col min="86" max="86" width="12.7109375" bestFit="1" customWidth="1"/>
    <col min="87" max="87" width="12.5703125" bestFit="1" customWidth="1"/>
    <col min="88" max="88" width="14.5703125" bestFit="1" customWidth="1"/>
    <col min="89" max="89" width="21.28515625" bestFit="1" customWidth="1"/>
    <col min="90" max="90" width="22.42578125" bestFit="1" customWidth="1"/>
    <col min="91" max="91" width="12.7109375" bestFit="1" customWidth="1"/>
    <col min="92" max="92" width="12.5703125" bestFit="1" customWidth="1"/>
    <col min="94" max="94" width="17.5703125" bestFit="1" customWidth="1"/>
    <col min="95" max="95" width="17" bestFit="1" customWidth="1"/>
    <col min="96" max="96" width="18" bestFit="1" customWidth="1"/>
    <col min="97" max="98" width="17.5703125" bestFit="1" customWidth="1"/>
    <col min="99" max="99" width="17" bestFit="1" customWidth="1"/>
    <col min="100" max="100" width="18" bestFit="1" customWidth="1"/>
  </cols>
  <sheetData>
    <row r="1" spans="1:100" x14ac:dyDescent="0.25">
      <c r="D1" s="7">
        <f>SUM(D2:D6)</f>
        <v>7325.0166666666664</v>
      </c>
      <c r="AD1">
        <f>IFERROR(AVERAGEIFS(AC10:AC134,AC10:AC134,"&lt;&gt;"&amp;0,AC10:AC134,"&lt;&gt;"&amp;"Total general")," - ")</f>
        <v>26.461375860668273</v>
      </c>
      <c r="AZ1">
        <f>IFERROR(AVERAGEIFS(AY8:AY1048,AY8:AY1048,"&lt;&gt;"&amp;0,AY8:AY1048,"&lt;&gt;"&amp;"Total general")," - ")</f>
        <v>48.786499727368039</v>
      </c>
      <c r="BC1">
        <f>IFERROR(AVERAGEIFS(BB8:BB1048,BB8:BB1048,"&lt;&gt;"&amp;0,BB8:BB1048,"&lt;&gt;"&amp;"Total general")," - ")</f>
        <v>25.897763198481329</v>
      </c>
      <c r="BU1" t="s">
        <v>68</v>
      </c>
    </row>
    <row r="2" spans="1:100" x14ac:dyDescent="0.25">
      <c r="A2">
        <v>5</v>
      </c>
      <c r="B2" t="str">
        <f>IF(VLOOKUP(A2,$A$10:$D$15,2,0)="Total general","-",VLOOKUP(A2,$A$10:$D$15,2,0))</f>
        <v>CONTESTADA PARCIAL</v>
      </c>
      <c r="C2" s="7">
        <f>IF(B2="-","0",VLOOKUP(A2,$A$10:$D$15,3,0))</f>
        <v>47843</v>
      </c>
      <c r="D2" s="7">
        <f>IF(B2="-","0",VLOOKUP(A2,$A$10:$D$15,4,0))</f>
        <v>1016.7333333333333</v>
      </c>
      <c r="AD2" s="43" t="e">
        <f>ROUND(AD3/60,0)</f>
        <v>#VALUE!</v>
      </c>
      <c r="AE2" s="43" t="e">
        <f>ROUND(AE3/60,0)</f>
        <v>#VALUE!</v>
      </c>
      <c r="AG2" t="s">
        <v>17</v>
      </c>
      <c r="AH2" s="7">
        <f>IFERROR(VLOOKUP(AG2,$AG$8:$AH$10,2,0),0)</f>
        <v>292011</v>
      </c>
      <c r="AI2" s="7">
        <f>IFERROR(VLOOKUP(AG2,$AJ$8:$AK$12,2,0),0)</f>
        <v>201463</v>
      </c>
      <c r="AJ2" s="7">
        <f>IFERROR(VLOOKUP(AG2,$AJ$8:$AL$12,3,0),0)</f>
        <v>138332</v>
      </c>
      <c r="AN2" s="45" t="s">
        <v>53</v>
      </c>
      <c r="AO2" s="45" t="s">
        <v>14</v>
      </c>
      <c r="AP2" s="45" t="s">
        <v>54</v>
      </c>
      <c r="AQ2" s="45" t="s">
        <v>55</v>
      </c>
      <c r="AR2" s="46"/>
      <c r="AZ2" t="str">
        <f>IFERROR(ROUND(AZ1,0)&amp;" seg","-")</f>
        <v>49 seg</v>
      </c>
      <c r="BC2" t="str">
        <f>IFERROR(ROUND(BC1,0)&amp;" seg","-")</f>
        <v>26 seg</v>
      </c>
      <c r="BE2" t="s">
        <v>17</v>
      </c>
      <c r="BU2" t="s">
        <v>25</v>
      </c>
      <c r="BV2" t="s">
        <v>66</v>
      </c>
    </row>
    <row r="3" spans="1:100" x14ac:dyDescent="0.25">
      <c r="A3">
        <v>4</v>
      </c>
      <c r="B3" t="str">
        <f t="shared" ref="B3:B5" si="0">IF(VLOOKUP(A3,$A$10:$D$15,2,0)="Total general","-",VLOOKUP(A3,$A$10:$D$15,2,0))</f>
        <v>ERROR</v>
      </c>
      <c r="C3" s="7">
        <f t="shared" ref="C3:C6" si="1">IF(B3="-","0",VLOOKUP(A3,$A$10:$D$15,3,0))</f>
        <v>47511</v>
      </c>
      <c r="D3" s="7">
        <f t="shared" ref="D3:D6" si="2">IF(B3="-","0",VLOOKUP(A3,$A$10:$D$15,4,0))</f>
        <v>3547.55</v>
      </c>
      <c r="K3" t="str">
        <f>K10</f>
        <v>Wisebot</v>
      </c>
      <c r="L3" s="7">
        <f>L10</f>
        <v>99737</v>
      </c>
      <c r="Q3" t="s">
        <v>24</v>
      </c>
      <c r="R3" t="s">
        <v>7</v>
      </c>
      <c r="AC3" s="42"/>
      <c r="AD3" s="7" t="str">
        <f>IFERROR(ROUND(AD1,0)&amp;" segundos","-")</f>
        <v>26 segundos</v>
      </c>
      <c r="AE3" s="7" t="str">
        <f>"Max "&amp;ROUND(AE5,0)&amp;" segundos"</f>
        <v>Max 50 segundos</v>
      </c>
      <c r="AG3" t="s">
        <v>36</v>
      </c>
      <c r="AH3" s="7">
        <f>IFERROR(VLOOKUP(AG3,$AG$8:$AH$10,2,0),0)</f>
        <v>490527</v>
      </c>
      <c r="AI3" s="7">
        <f>IFERROR(VLOOKUP(AG3,$AJ$8:$AK$12,2,0),0)</f>
        <v>293493</v>
      </c>
      <c r="AJ3" s="7">
        <f>IFERROR(VLOOKUP(AG3,$AJ$8:$AL$12,3,0),0)</f>
        <v>20794.500000000004</v>
      </c>
      <c r="AN3" s="47">
        <v>1683</v>
      </c>
      <c r="AO3" s="48">
        <f>IFERROR(IF(((AW3*100)/(AW3+AW4))&gt;97,98,((AW3*100)/(AW3+AW4))),0)</f>
        <v>59.832180491593732</v>
      </c>
      <c r="AP3" s="47">
        <v>2</v>
      </c>
      <c r="AQ3" s="48">
        <f>SUM(AN5:AR5)-AO3-AP3</f>
        <v>138.16781950840627</v>
      </c>
      <c r="AR3" s="46">
        <v>100</v>
      </c>
      <c r="AT3" t="str">
        <f>FIXED(IFERROR(((AW3*100)/(AW3+AW4)),0),0,0)&amp;"%"</f>
        <v>60%</v>
      </c>
      <c r="AV3" s="49" t="s">
        <v>56</v>
      </c>
      <c r="AW3" s="50">
        <f>AI3</f>
        <v>293493</v>
      </c>
      <c r="BE3" t="s">
        <v>36</v>
      </c>
      <c r="BQ3" t="s">
        <v>17</v>
      </c>
      <c r="BR3" s="7">
        <f>IFERROR(VLOOKUP("Total general",CB2:CC29,2,0),0)</f>
        <v>31444</v>
      </c>
      <c r="BS3" s="39">
        <f>BR3/AH2</f>
        <v>0.10768087503552948</v>
      </c>
      <c r="BU3" t="s">
        <v>26</v>
      </c>
      <c r="BV3" t="s">
        <v>66</v>
      </c>
    </row>
    <row r="4" spans="1:100" x14ac:dyDescent="0.25">
      <c r="A4">
        <v>3</v>
      </c>
      <c r="B4" t="str">
        <f t="shared" si="0"/>
        <v>CONTESTA SIN RESPUESTA</v>
      </c>
      <c r="C4" s="7">
        <f t="shared" si="1"/>
        <v>2648</v>
      </c>
      <c r="D4" s="7">
        <f t="shared" si="2"/>
        <v>1430.3333333333333</v>
      </c>
      <c r="H4" t="s">
        <v>3</v>
      </c>
      <c r="I4">
        <f>IFERROR(VLOOKUP(H4,$H$10:$I$13,2,0),0)</f>
        <v>52226</v>
      </c>
      <c r="Q4" t="s">
        <v>25</v>
      </c>
      <c r="R4" t="s">
        <v>9</v>
      </c>
      <c r="AD4">
        <f>AD5*60</f>
        <v>213.78405650857718</v>
      </c>
      <c r="AE4">
        <f>AE5*60</f>
        <v>2991.1095796002755</v>
      </c>
      <c r="AN4" s="47" t="s">
        <v>57</v>
      </c>
      <c r="AO4" s="47" t="s">
        <v>58</v>
      </c>
      <c r="AP4" s="47" t="s">
        <v>59</v>
      </c>
      <c r="AQ4" s="47" t="s">
        <v>60</v>
      </c>
      <c r="AR4" s="47" t="s">
        <v>61</v>
      </c>
      <c r="AV4" s="49" t="s">
        <v>62</v>
      </c>
      <c r="AW4" s="50">
        <f>AH3-AW3</f>
        <v>197034</v>
      </c>
      <c r="AY4" s="13" t="s">
        <v>20</v>
      </c>
      <c r="AZ4" t="s">
        <v>3</v>
      </c>
      <c r="BB4" s="13" t="s">
        <v>20</v>
      </c>
      <c r="BC4" t="s">
        <v>3</v>
      </c>
      <c r="BQ4" t="s">
        <v>36</v>
      </c>
      <c r="BR4" s="7">
        <f>IFERROR(VLOOKUP("Total general",CB31:CC53,2,0),0)</f>
        <v>15953</v>
      </c>
      <c r="BS4" s="39">
        <f>BR4/AH3</f>
        <v>3.2522164936894402E-2</v>
      </c>
      <c r="BU4" t="s">
        <v>42</v>
      </c>
      <c r="BV4" t="s">
        <v>66</v>
      </c>
      <c r="BY4" s="13" t="s">
        <v>16</v>
      </c>
      <c r="BZ4" t="s">
        <v>17</v>
      </c>
      <c r="CB4" s="13" t="s">
        <v>16</v>
      </c>
      <c r="CC4" t="s">
        <v>17</v>
      </c>
    </row>
    <row r="5" spans="1:100" x14ac:dyDescent="0.25">
      <c r="A5">
        <v>2</v>
      </c>
      <c r="B5" t="str">
        <f t="shared" si="0"/>
        <v>CONTESTADA EFECTIVA</v>
      </c>
      <c r="C5" s="7">
        <f t="shared" si="1"/>
        <v>1735</v>
      </c>
      <c r="D5" s="7">
        <f t="shared" si="2"/>
        <v>1330.3999999999999</v>
      </c>
      <c r="H5" t="s">
        <v>11</v>
      </c>
      <c r="I5">
        <f>IFERROR(VLOOKUP(H5,$H$10:$I$13,2,0),0)</f>
        <v>47511</v>
      </c>
      <c r="Q5" t="s">
        <v>26</v>
      </c>
      <c r="R5" t="s">
        <v>9</v>
      </c>
      <c r="Z5" s="10">
        <f>Z10</f>
        <v>3777.4666666666667</v>
      </c>
      <c r="AC5" s="42" t="str">
        <f>AD3&amp;" - "&amp;AE3</f>
        <v>26 segundos - Max 50 segundos</v>
      </c>
      <c r="AD5">
        <f>MIN(AC10:AC90)</f>
        <v>3.5630676084762865</v>
      </c>
      <c r="AE5">
        <f>MAX(AC10:AC90)</f>
        <v>49.851826326671258</v>
      </c>
      <c r="AJ5" s="13" t="s">
        <v>20</v>
      </c>
      <c r="AK5" t="s">
        <v>3</v>
      </c>
      <c r="AN5" s="47">
        <v>25</v>
      </c>
      <c r="AO5" s="47">
        <v>25</v>
      </c>
      <c r="AP5" s="47">
        <v>25</v>
      </c>
      <c r="AQ5" s="47">
        <v>25</v>
      </c>
      <c r="AR5" s="47">
        <f>SUM(AN5:AQ5)</f>
        <v>100</v>
      </c>
      <c r="AY5" s="13" t="s">
        <v>16</v>
      </c>
      <c r="AZ5" t="s">
        <v>17</v>
      </c>
      <c r="BA5" s="7"/>
      <c r="BB5" s="13" t="s">
        <v>16</v>
      </c>
      <c r="BC5" t="s">
        <v>36</v>
      </c>
      <c r="BE5" s="13" t="s">
        <v>16</v>
      </c>
      <c r="BF5" t="s">
        <v>17</v>
      </c>
      <c r="BH5" s="13" t="s">
        <v>16</v>
      </c>
      <c r="BI5" t="s">
        <v>36</v>
      </c>
      <c r="BK5" s="13" t="s">
        <v>16</v>
      </c>
      <c r="BL5" t="s">
        <v>36</v>
      </c>
      <c r="BN5" s="13" t="s">
        <v>16</v>
      </c>
      <c r="BO5" t="s">
        <v>17</v>
      </c>
      <c r="BU5" t="s">
        <v>46</v>
      </c>
      <c r="BV5" t="s">
        <v>66</v>
      </c>
      <c r="BY5" s="13" t="s">
        <v>63</v>
      </c>
      <c r="BZ5" t="s">
        <v>67</v>
      </c>
      <c r="CB5" s="13" t="s">
        <v>63</v>
      </c>
      <c r="CC5" t="s">
        <v>66</v>
      </c>
      <c r="CF5" s="13" t="s">
        <v>16</v>
      </c>
      <c r="CG5" t="s">
        <v>17</v>
      </c>
      <c r="CK5" s="13" t="s">
        <v>16</v>
      </c>
      <c r="CL5" t="s">
        <v>36</v>
      </c>
      <c r="CP5" s="13" t="s">
        <v>16</v>
      </c>
      <c r="CQ5" t="s">
        <v>36</v>
      </c>
      <c r="CT5" s="13" t="s">
        <v>16</v>
      </c>
      <c r="CU5" t="s">
        <v>17</v>
      </c>
    </row>
    <row r="6" spans="1:100" x14ac:dyDescent="0.25">
      <c r="A6">
        <v>1</v>
      </c>
      <c r="B6" t="str">
        <f>IF(OR(VLOOKUP(A6,$A$10:$D$15,2,0)="Total general",VLOOKUP(A6,$A$10:$D$15,2,0)=0),"-",VLOOKUP(A6,$A$10:$D$15,2,0))</f>
        <v>-</v>
      </c>
      <c r="C6" s="7" t="str">
        <f t="shared" si="1"/>
        <v>0</v>
      </c>
      <c r="D6" s="7" t="str">
        <f t="shared" si="2"/>
        <v>0</v>
      </c>
      <c r="Q6" t="s">
        <v>27</v>
      </c>
      <c r="R6" t="s">
        <v>9</v>
      </c>
      <c r="AY6" s="7"/>
      <c r="AZ6" s="7"/>
      <c r="BA6" s="7"/>
      <c r="BB6" s="7"/>
      <c r="BC6" s="7"/>
      <c r="BU6" t="s">
        <v>47</v>
      </c>
      <c r="BV6" t="s">
        <v>66</v>
      </c>
    </row>
    <row r="7" spans="1:100" x14ac:dyDescent="0.25">
      <c r="N7" s="13" t="s">
        <v>20</v>
      </c>
      <c r="O7" t="s">
        <v>3</v>
      </c>
      <c r="Q7" t="s">
        <v>28</v>
      </c>
      <c r="R7" t="s">
        <v>9</v>
      </c>
      <c r="V7" s="13" t="s">
        <v>20</v>
      </c>
      <c r="W7" t="s">
        <v>3</v>
      </c>
      <c r="Z7" s="13" t="s">
        <v>20</v>
      </c>
      <c r="AA7" t="s">
        <v>3</v>
      </c>
      <c r="AC7" s="13" t="s">
        <v>20</v>
      </c>
      <c r="AD7" t="s">
        <v>3</v>
      </c>
      <c r="AG7" s="13" t="s">
        <v>1</v>
      </c>
      <c r="AH7" s="10" t="s">
        <v>21</v>
      </c>
      <c r="AI7" s="10"/>
      <c r="AJ7" s="13" t="s">
        <v>1</v>
      </c>
      <c r="AK7" t="s">
        <v>21</v>
      </c>
      <c r="AL7" t="s">
        <v>22</v>
      </c>
      <c r="AY7" s="13" t="s">
        <v>1</v>
      </c>
      <c r="BB7" s="13" t="s">
        <v>1</v>
      </c>
      <c r="BE7" s="13" t="s">
        <v>1</v>
      </c>
      <c r="BF7" s="10" t="s">
        <v>21</v>
      </c>
      <c r="BH7" s="13" t="s">
        <v>1</v>
      </c>
      <c r="BI7" s="10" t="s">
        <v>21</v>
      </c>
      <c r="BK7" s="13" t="s">
        <v>1</v>
      </c>
      <c r="BL7" s="10" t="s">
        <v>21</v>
      </c>
      <c r="BN7" s="13" t="s">
        <v>1</v>
      </c>
      <c r="BO7" s="10" t="s">
        <v>21</v>
      </c>
      <c r="BU7" t="s">
        <v>27</v>
      </c>
      <c r="BV7" t="s">
        <v>66</v>
      </c>
      <c r="BY7" s="13" t="s">
        <v>1</v>
      </c>
      <c r="BZ7" s="10" t="s">
        <v>21</v>
      </c>
      <c r="CB7" s="13" t="s">
        <v>1</v>
      </c>
      <c r="CC7" s="10" t="s">
        <v>21</v>
      </c>
      <c r="CF7" s="13" t="s">
        <v>21</v>
      </c>
      <c r="CG7" s="13" t="s">
        <v>69</v>
      </c>
      <c r="CK7" s="13" t="s">
        <v>21</v>
      </c>
      <c r="CL7" s="13" t="s">
        <v>69</v>
      </c>
      <c r="CP7" s="13" t="s">
        <v>1</v>
      </c>
      <c r="CQ7" t="s">
        <v>21</v>
      </c>
      <c r="CR7" t="s">
        <v>70</v>
      </c>
      <c r="CT7" s="13" t="s">
        <v>1</v>
      </c>
      <c r="CU7" t="s">
        <v>21</v>
      </c>
      <c r="CV7" t="s">
        <v>70</v>
      </c>
    </row>
    <row r="8" spans="1:100" x14ac:dyDescent="0.25">
      <c r="Q8" t="s">
        <v>29</v>
      </c>
      <c r="R8" t="s">
        <v>9</v>
      </c>
      <c r="AG8" s="14" t="s">
        <v>17</v>
      </c>
      <c r="AH8" s="10">
        <v>292011</v>
      </c>
      <c r="AI8" s="10"/>
      <c r="AJ8" s="14" t="s">
        <v>17</v>
      </c>
      <c r="AK8" s="10">
        <v>201463</v>
      </c>
      <c r="AL8" s="10">
        <v>138332</v>
      </c>
      <c r="AN8" s="45" t="s">
        <v>53</v>
      </c>
      <c r="AO8" s="45" t="s">
        <v>14</v>
      </c>
      <c r="AP8" s="45" t="s">
        <v>54</v>
      </c>
      <c r="AQ8" s="45" t="s">
        <v>55</v>
      </c>
      <c r="AR8" s="46"/>
      <c r="AY8" s="14">
        <v>18.519888793840888</v>
      </c>
      <c r="BB8" s="14">
        <v>2.9305993690851735</v>
      </c>
      <c r="BE8" s="14" t="s">
        <v>10</v>
      </c>
      <c r="BF8" s="10">
        <v>12111</v>
      </c>
      <c r="BH8" s="14" t="s">
        <v>10</v>
      </c>
      <c r="BI8" s="10">
        <v>271629</v>
      </c>
      <c r="BK8" s="14" t="s">
        <v>44</v>
      </c>
      <c r="BL8" s="10">
        <v>39</v>
      </c>
      <c r="BN8" s="14" t="s">
        <v>25</v>
      </c>
      <c r="BO8" s="10">
        <v>2426</v>
      </c>
      <c r="BU8" t="s">
        <v>28</v>
      </c>
      <c r="BV8" t="s">
        <v>66</v>
      </c>
      <c r="BY8" s="14" t="s">
        <v>34</v>
      </c>
      <c r="BZ8" s="10">
        <v>90548</v>
      </c>
      <c r="CB8" s="14" t="s">
        <v>25</v>
      </c>
      <c r="CC8" s="10">
        <v>2426</v>
      </c>
      <c r="CF8" s="13" t="s">
        <v>1</v>
      </c>
      <c r="CG8" t="s">
        <v>3</v>
      </c>
      <c r="CH8" t="s">
        <v>11</v>
      </c>
      <c r="CI8" t="s">
        <v>2</v>
      </c>
      <c r="CK8" s="13" t="s">
        <v>1</v>
      </c>
      <c r="CL8" t="s">
        <v>3</v>
      </c>
      <c r="CM8" t="s">
        <v>11</v>
      </c>
      <c r="CN8" t="s">
        <v>2</v>
      </c>
      <c r="CP8" s="58">
        <v>45360</v>
      </c>
      <c r="CQ8" s="10">
        <v>65251</v>
      </c>
      <c r="CR8" s="10">
        <v>65251</v>
      </c>
      <c r="CT8" s="58">
        <v>45355</v>
      </c>
      <c r="CU8" s="10">
        <v>5020</v>
      </c>
      <c r="CV8" s="10">
        <v>5020</v>
      </c>
    </row>
    <row r="9" spans="1:100" x14ac:dyDescent="0.25">
      <c r="B9" s="13" t="s">
        <v>1</v>
      </c>
      <c r="C9" s="10" t="s">
        <v>21</v>
      </c>
      <c r="D9" s="10" t="s">
        <v>22</v>
      </c>
      <c r="H9" s="13" t="s">
        <v>1</v>
      </c>
      <c r="I9" t="s">
        <v>21</v>
      </c>
      <c r="K9" s="13" t="s">
        <v>1</v>
      </c>
      <c r="L9" s="10" t="s">
        <v>21</v>
      </c>
      <c r="N9" s="13" t="s">
        <v>1</v>
      </c>
      <c r="O9" t="s">
        <v>22</v>
      </c>
      <c r="Q9" t="s">
        <v>31</v>
      </c>
      <c r="R9" t="s">
        <v>9</v>
      </c>
      <c r="V9" s="13" t="s">
        <v>1</v>
      </c>
      <c r="W9" t="s">
        <v>35</v>
      </c>
      <c r="X9" t="s">
        <v>14</v>
      </c>
      <c r="Z9" t="s">
        <v>22</v>
      </c>
      <c r="AC9" s="13" t="s">
        <v>1</v>
      </c>
      <c r="AD9" t="s">
        <v>52</v>
      </c>
      <c r="AG9" s="14" t="s">
        <v>36</v>
      </c>
      <c r="AH9" s="10">
        <v>490527</v>
      </c>
      <c r="AI9" s="10"/>
      <c r="AJ9" s="14" t="s">
        <v>36</v>
      </c>
      <c r="AK9" s="10">
        <v>293493</v>
      </c>
      <c r="AL9" s="10">
        <v>20794.500000000004</v>
      </c>
      <c r="AN9" s="47">
        <v>1683</v>
      </c>
      <c r="AO9" s="48">
        <f>IFERROR(IF(((AW9*100)/(AW9+AW10))&gt;97,98,((AW9*100)/(AW9+AW10))),0)</f>
        <v>68.991579084349567</v>
      </c>
      <c r="AP9" s="47">
        <v>2</v>
      </c>
      <c r="AQ9" s="48">
        <f>SUM(AN11:AR11)-AO9-AP9</f>
        <v>129.00842091565045</v>
      </c>
      <c r="AR9" s="46">
        <v>100</v>
      </c>
      <c r="AT9" t="str">
        <f>FIXED(IFERROR(((AW9*100)/(AW9+AW10)),0),0,0)&amp;"%"</f>
        <v>69%</v>
      </c>
      <c r="AV9" s="49" t="s">
        <v>56</v>
      </c>
      <c r="AW9" s="50">
        <f>AI2</f>
        <v>201463</v>
      </c>
      <c r="AY9" s="14">
        <v>21.762421103738468</v>
      </c>
      <c r="BB9" s="14">
        <v>3.3019662921348316</v>
      </c>
      <c r="BE9" s="14" t="s">
        <v>9</v>
      </c>
      <c r="BF9" s="10">
        <v>19333</v>
      </c>
      <c r="BH9" s="14" t="s">
        <v>8</v>
      </c>
      <c r="BI9" s="10">
        <v>197034</v>
      </c>
      <c r="BK9" s="14" t="s">
        <v>48</v>
      </c>
      <c r="BL9" s="10">
        <v>60</v>
      </c>
      <c r="BN9" s="14" t="s">
        <v>26</v>
      </c>
      <c r="BO9" s="10">
        <v>2684</v>
      </c>
      <c r="BU9" t="s">
        <v>29</v>
      </c>
      <c r="BV9" t="s">
        <v>66</v>
      </c>
      <c r="BY9" s="14" t="s">
        <v>24</v>
      </c>
      <c r="BZ9" s="10">
        <v>170019</v>
      </c>
      <c r="CB9" s="14" t="s">
        <v>26</v>
      </c>
      <c r="CC9" s="10">
        <v>2684</v>
      </c>
      <c r="CF9" s="14" t="s">
        <v>25</v>
      </c>
      <c r="CG9" s="10">
        <v>2426</v>
      </c>
      <c r="CH9" s="10"/>
      <c r="CI9" s="10">
        <v>2426</v>
      </c>
      <c r="CK9" s="14" t="s">
        <v>37</v>
      </c>
      <c r="CL9" s="10">
        <v>1652</v>
      </c>
      <c r="CM9" s="10"/>
      <c r="CN9" s="10">
        <v>1652</v>
      </c>
      <c r="CP9" s="58">
        <v>45361</v>
      </c>
      <c r="CQ9" s="10">
        <v>46000</v>
      </c>
      <c r="CR9" s="10">
        <v>46000</v>
      </c>
      <c r="CT9" s="58">
        <v>45356</v>
      </c>
      <c r="CU9" s="10">
        <v>11610</v>
      </c>
      <c r="CV9" s="10">
        <v>11610</v>
      </c>
    </row>
    <row r="10" spans="1:100" x14ac:dyDescent="0.25">
      <c r="A10">
        <f>_xlfn.RANK.EQ(F10,F:F,1)</f>
        <v>2</v>
      </c>
      <c r="B10" s="14" t="s">
        <v>9</v>
      </c>
      <c r="C10" s="10">
        <v>1735</v>
      </c>
      <c r="D10" s="10">
        <v>1330.3999999999999</v>
      </c>
      <c r="E10">
        <v>1.0000000000000001E-9</v>
      </c>
      <c r="F10" s="10">
        <f>C10+E10</f>
        <v>1735.000000001</v>
      </c>
      <c r="H10" s="14" t="s">
        <v>3</v>
      </c>
      <c r="I10" s="10">
        <v>52226</v>
      </c>
      <c r="K10" s="14" t="s">
        <v>36</v>
      </c>
      <c r="L10" s="10">
        <v>99737</v>
      </c>
      <c r="N10" s="14" t="s">
        <v>7</v>
      </c>
      <c r="O10" s="10">
        <v>1430.3333333333333</v>
      </c>
      <c r="Q10" t="s">
        <v>30</v>
      </c>
      <c r="R10" t="s">
        <v>10</v>
      </c>
      <c r="V10" s="14" t="s">
        <v>37</v>
      </c>
      <c r="W10" s="10">
        <v>276</v>
      </c>
      <c r="X10" s="39">
        <v>5.2847240837896837E-3</v>
      </c>
      <c r="Z10" s="10">
        <v>3777.4666666666667</v>
      </c>
      <c r="AC10" s="14">
        <v>3.5630676084762865</v>
      </c>
      <c r="AD10" s="10">
        <v>1</v>
      </c>
      <c r="AG10" s="14" t="s">
        <v>2</v>
      </c>
      <c r="AH10" s="10">
        <v>782538</v>
      </c>
      <c r="AI10" s="10"/>
      <c r="AJ10" s="14" t="s">
        <v>2</v>
      </c>
      <c r="AK10" s="10">
        <v>494956</v>
      </c>
      <c r="AL10" s="10">
        <v>159126.5</v>
      </c>
      <c r="AN10" s="47" t="s">
        <v>57</v>
      </c>
      <c r="AO10" s="47" t="s">
        <v>58</v>
      </c>
      <c r="AP10" s="47" t="s">
        <v>59</v>
      </c>
      <c r="AQ10" s="47" t="s">
        <v>60</v>
      </c>
      <c r="AR10" s="47" t="s">
        <v>61</v>
      </c>
      <c r="AV10" s="49" t="s">
        <v>62</v>
      </c>
      <c r="AW10" s="50">
        <f>AH2-AW9</f>
        <v>90548</v>
      </c>
      <c r="AY10" s="14">
        <v>22.894333060556466</v>
      </c>
      <c r="BB10" s="14">
        <v>3.3923205342237064</v>
      </c>
      <c r="BE10" s="14" t="s">
        <v>8</v>
      </c>
      <c r="BF10" s="10">
        <v>90548</v>
      </c>
      <c r="BH10" s="14" t="s">
        <v>7</v>
      </c>
      <c r="BI10" s="10">
        <v>13733</v>
      </c>
      <c r="BK10" s="14" t="s">
        <v>49</v>
      </c>
      <c r="BL10" s="10">
        <v>192</v>
      </c>
      <c r="BN10" s="14" t="s">
        <v>34</v>
      </c>
      <c r="BO10" s="10">
        <v>90548</v>
      </c>
      <c r="BU10" t="s">
        <v>30</v>
      </c>
      <c r="BV10" t="s">
        <v>66</v>
      </c>
      <c r="BY10" s="14" t="s">
        <v>2</v>
      </c>
      <c r="BZ10" s="10">
        <v>260567</v>
      </c>
      <c r="CB10" s="14" t="s">
        <v>27</v>
      </c>
      <c r="CC10" s="10">
        <v>760</v>
      </c>
      <c r="CF10" s="57" t="s">
        <v>66</v>
      </c>
      <c r="CG10" s="10">
        <v>2426</v>
      </c>
      <c r="CH10" s="10"/>
      <c r="CI10" s="10">
        <v>2426</v>
      </c>
      <c r="CK10" s="57" t="s">
        <v>67</v>
      </c>
      <c r="CL10" s="10">
        <v>1652</v>
      </c>
      <c r="CM10" s="10"/>
      <c r="CN10" s="10">
        <v>1652</v>
      </c>
      <c r="CP10" s="58">
        <v>45362</v>
      </c>
      <c r="CQ10" s="10">
        <v>94182</v>
      </c>
      <c r="CR10" s="10">
        <v>94182</v>
      </c>
      <c r="CT10" s="58">
        <v>45357</v>
      </c>
      <c r="CU10" s="10">
        <v>15754</v>
      </c>
      <c r="CV10" s="10">
        <v>15754</v>
      </c>
    </row>
    <row r="11" spans="1:100" x14ac:dyDescent="0.25">
      <c r="A11">
        <f t="shared" ref="A11:A15" si="3">_xlfn.RANK.EQ(F11,F:F,1)</f>
        <v>3</v>
      </c>
      <c r="B11" s="14" t="s">
        <v>7</v>
      </c>
      <c r="C11" s="10">
        <v>2648</v>
      </c>
      <c r="D11" s="10">
        <v>1430.3333333333333</v>
      </c>
      <c r="E11">
        <v>2.0000000000000001E-9</v>
      </c>
      <c r="F11" s="10">
        <f t="shared" ref="F11:F15" si="4">C11+E11</f>
        <v>2648.000000002</v>
      </c>
      <c r="H11" s="14" t="s">
        <v>11</v>
      </c>
      <c r="I11" s="10">
        <v>47511</v>
      </c>
      <c r="K11" s="14" t="s">
        <v>2</v>
      </c>
      <c r="L11" s="10">
        <v>99737</v>
      </c>
      <c r="N11" s="14" t="s">
        <v>9</v>
      </c>
      <c r="O11" s="10">
        <v>1330.3999999999999</v>
      </c>
      <c r="Q11" t="s">
        <v>32</v>
      </c>
      <c r="R11" t="s">
        <v>10</v>
      </c>
      <c r="V11" s="14" t="s">
        <v>38</v>
      </c>
      <c r="W11" s="10">
        <v>2648</v>
      </c>
      <c r="X11" s="39">
        <v>5.0702715122735803E-2</v>
      </c>
      <c r="AC11" s="14">
        <v>12.000548546352167</v>
      </c>
      <c r="AD11" s="10">
        <v>1</v>
      </c>
      <c r="AN11" s="47">
        <v>25</v>
      </c>
      <c r="AO11" s="47">
        <v>25</v>
      </c>
      <c r="AP11" s="47">
        <v>25</v>
      </c>
      <c r="AQ11" s="47">
        <v>25</v>
      </c>
      <c r="AR11" s="47">
        <f>SUM(AN11:AQ11)</f>
        <v>100</v>
      </c>
      <c r="AY11" s="14">
        <v>25.974937539038102</v>
      </c>
      <c r="BB11" s="14">
        <v>3.4290748898678416</v>
      </c>
      <c r="BE11" s="14" t="s">
        <v>7</v>
      </c>
      <c r="BF11" s="10">
        <v>170019</v>
      </c>
      <c r="BH11" s="14" t="s">
        <v>9</v>
      </c>
      <c r="BI11" s="10">
        <v>8131</v>
      </c>
      <c r="BK11" s="14" t="s">
        <v>41</v>
      </c>
      <c r="BL11" s="10">
        <v>1314</v>
      </c>
      <c r="BN11" s="14" t="s">
        <v>24</v>
      </c>
      <c r="BO11" s="10">
        <v>170019</v>
      </c>
      <c r="BU11" t="s">
        <v>32</v>
      </c>
      <c r="BV11" t="s">
        <v>66</v>
      </c>
      <c r="CB11" s="14" t="s">
        <v>28</v>
      </c>
      <c r="CC11" s="10">
        <v>3814</v>
      </c>
      <c r="CF11" s="14" t="s">
        <v>26</v>
      </c>
      <c r="CG11" s="10">
        <v>2684</v>
      </c>
      <c r="CH11" s="10"/>
      <c r="CI11" s="10">
        <v>2684</v>
      </c>
      <c r="CK11" s="14" t="s">
        <v>38</v>
      </c>
      <c r="CL11" s="10">
        <v>13733</v>
      </c>
      <c r="CM11" s="10"/>
      <c r="CN11" s="10">
        <v>13733</v>
      </c>
      <c r="CP11" s="58">
        <v>45364</v>
      </c>
      <c r="CQ11" s="10">
        <v>77579</v>
      </c>
      <c r="CR11" s="10">
        <v>77579</v>
      </c>
      <c r="CT11" s="58">
        <v>45358</v>
      </c>
      <c r="CU11" s="10">
        <v>34690</v>
      </c>
      <c r="CV11" s="10">
        <v>34690</v>
      </c>
    </row>
    <row r="12" spans="1:100" x14ac:dyDescent="0.25">
      <c r="A12">
        <f t="shared" si="3"/>
        <v>4</v>
      </c>
      <c r="B12" s="14" t="s">
        <v>8</v>
      </c>
      <c r="C12" s="10">
        <v>47511</v>
      </c>
      <c r="D12" s="10">
        <v>3547.55</v>
      </c>
      <c r="E12">
        <v>3E-9</v>
      </c>
      <c r="F12" s="10">
        <f t="shared" si="4"/>
        <v>47511.000000002998</v>
      </c>
      <c r="H12" s="14" t="s">
        <v>2</v>
      </c>
      <c r="I12" s="10">
        <v>99737</v>
      </c>
      <c r="L12"/>
      <c r="N12" s="14" t="s">
        <v>10</v>
      </c>
      <c r="O12" s="10">
        <v>1016.7333333333333</v>
      </c>
      <c r="Q12" t="s">
        <v>33</v>
      </c>
      <c r="R12" t="s">
        <v>10</v>
      </c>
      <c r="V12" s="14" t="s">
        <v>40</v>
      </c>
      <c r="W12" s="10">
        <v>1823</v>
      </c>
      <c r="X12" s="39">
        <v>3.490598552445142E-2</v>
      </c>
      <c r="AC12" s="14">
        <v>20.727272727272727</v>
      </c>
      <c r="AD12" s="10">
        <v>1</v>
      </c>
      <c r="AY12" s="14">
        <v>26.684130982367758</v>
      </c>
      <c r="BB12" s="14">
        <v>3.5630676084762865</v>
      </c>
      <c r="BE12" s="14" t="s">
        <v>2</v>
      </c>
      <c r="BF12" s="10">
        <v>292011</v>
      </c>
      <c r="BH12" s="14" t="s">
        <v>2</v>
      </c>
      <c r="BI12" s="10">
        <v>490527</v>
      </c>
      <c r="BK12" s="14" t="s">
        <v>37</v>
      </c>
      <c r="BL12" s="10">
        <v>1652</v>
      </c>
      <c r="BN12" s="14" t="s">
        <v>27</v>
      </c>
      <c r="BO12" s="10">
        <v>760</v>
      </c>
      <c r="BU12" t="s">
        <v>31</v>
      </c>
      <c r="BV12" t="s">
        <v>66</v>
      </c>
      <c r="CB12" s="14" t="s">
        <v>29</v>
      </c>
      <c r="CC12" s="10">
        <v>3435</v>
      </c>
      <c r="CF12" s="57" t="s">
        <v>66</v>
      </c>
      <c r="CG12" s="10">
        <v>2684</v>
      </c>
      <c r="CH12" s="10"/>
      <c r="CI12" s="10">
        <v>2684</v>
      </c>
      <c r="CK12" s="57" t="s">
        <v>67</v>
      </c>
      <c r="CL12" s="10">
        <v>13733</v>
      </c>
      <c r="CM12" s="10"/>
      <c r="CN12" s="10">
        <v>13733</v>
      </c>
      <c r="CP12" s="58">
        <v>45375</v>
      </c>
      <c r="CQ12" s="10">
        <v>31436</v>
      </c>
      <c r="CR12" s="10">
        <v>31436</v>
      </c>
      <c r="CT12" s="58">
        <v>45363</v>
      </c>
      <c r="CU12" s="10">
        <v>24363</v>
      </c>
      <c r="CV12" s="10">
        <v>24363</v>
      </c>
    </row>
    <row r="13" spans="1:100" x14ac:dyDescent="0.25">
      <c r="A13">
        <f t="shared" si="3"/>
        <v>5</v>
      </c>
      <c r="B13" s="14" t="s">
        <v>10</v>
      </c>
      <c r="C13" s="10">
        <v>47843</v>
      </c>
      <c r="D13" s="10">
        <v>1016.7333333333333</v>
      </c>
      <c r="E13">
        <v>4.0000000000000002E-9</v>
      </c>
      <c r="F13" s="10">
        <f t="shared" si="4"/>
        <v>47843.000000004002</v>
      </c>
      <c r="N13" s="14" t="s">
        <v>2</v>
      </c>
      <c r="O13" s="10">
        <v>3777.4666666666662</v>
      </c>
      <c r="Q13" t="s">
        <v>34</v>
      </c>
      <c r="R13" t="s">
        <v>8</v>
      </c>
      <c r="V13" s="14" t="s">
        <v>41</v>
      </c>
      <c r="W13" s="10">
        <v>196</v>
      </c>
      <c r="X13" s="39">
        <v>3.7529200015318041E-3</v>
      </c>
      <c r="AC13" s="14">
        <v>23.571428571428573</v>
      </c>
      <c r="AD13" s="10">
        <v>1</v>
      </c>
      <c r="AY13" s="14">
        <v>26.805464233080151</v>
      </c>
      <c r="BB13" s="14">
        <v>3.6822916666666665</v>
      </c>
      <c r="BK13" s="14" t="s">
        <v>46</v>
      </c>
      <c r="BL13" s="10">
        <v>1681</v>
      </c>
      <c r="BN13" s="14" t="s">
        <v>28</v>
      </c>
      <c r="BO13" s="10">
        <v>3814</v>
      </c>
      <c r="BU13" t="s">
        <v>33</v>
      </c>
      <c r="BV13" t="s">
        <v>66</v>
      </c>
      <c r="CB13" s="14" t="s">
        <v>30</v>
      </c>
      <c r="CC13" s="10">
        <v>2542</v>
      </c>
      <c r="CF13" s="14" t="s">
        <v>34</v>
      </c>
      <c r="CG13" s="10"/>
      <c r="CH13" s="10">
        <v>90548</v>
      </c>
      <c r="CI13" s="10">
        <v>90548</v>
      </c>
      <c r="CK13" s="14" t="s">
        <v>39</v>
      </c>
      <c r="CL13" s="10"/>
      <c r="CM13" s="10">
        <v>170157</v>
      </c>
      <c r="CN13" s="10">
        <v>170157</v>
      </c>
      <c r="CP13" s="58">
        <v>45378</v>
      </c>
      <c r="CQ13" s="10">
        <v>76342</v>
      </c>
      <c r="CR13" s="10">
        <v>76342</v>
      </c>
      <c r="CT13" s="58">
        <v>45364</v>
      </c>
      <c r="CU13" s="10">
        <v>8127</v>
      </c>
      <c r="CV13" s="10">
        <v>8127</v>
      </c>
    </row>
    <row r="14" spans="1:100" x14ac:dyDescent="0.25">
      <c r="A14">
        <f t="shared" si="3"/>
        <v>6</v>
      </c>
      <c r="B14" s="14" t="s">
        <v>2</v>
      </c>
      <c r="C14" s="10">
        <v>99737</v>
      </c>
      <c r="D14" s="10">
        <v>7325.0166666666664</v>
      </c>
      <c r="E14">
        <v>5.0000000000000001E-9</v>
      </c>
      <c r="F14" s="10">
        <f t="shared" si="4"/>
        <v>99737.000000005006</v>
      </c>
      <c r="V14" s="14" t="s">
        <v>42</v>
      </c>
      <c r="W14" s="10">
        <v>652</v>
      </c>
      <c r="X14" s="39">
        <v>1.2484203270401716E-2</v>
      </c>
      <c r="AC14" s="14">
        <v>26.676691729323309</v>
      </c>
      <c r="AD14" s="10">
        <v>1</v>
      </c>
      <c r="AY14" s="14">
        <v>27.997918029861399</v>
      </c>
      <c r="BB14" s="14">
        <v>3.7561779242174631</v>
      </c>
      <c r="BK14" s="14" t="s">
        <v>47</v>
      </c>
      <c r="BL14" s="10">
        <v>6351</v>
      </c>
      <c r="BN14" s="14" t="s">
        <v>29</v>
      </c>
      <c r="BO14" s="10">
        <v>3435</v>
      </c>
      <c r="BU14" t="s">
        <v>48</v>
      </c>
      <c r="BV14" t="s">
        <v>66</v>
      </c>
      <c r="CB14" s="14" t="s">
        <v>32</v>
      </c>
      <c r="CC14" s="10">
        <v>417</v>
      </c>
      <c r="CF14" s="57" t="s">
        <v>67</v>
      </c>
      <c r="CG14" s="10"/>
      <c r="CH14" s="10">
        <v>90548</v>
      </c>
      <c r="CI14" s="10">
        <v>90548</v>
      </c>
      <c r="CK14" s="57" t="s">
        <v>67</v>
      </c>
      <c r="CL14" s="10"/>
      <c r="CM14" s="10">
        <v>170157</v>
      </c>
      <c r="CN14" s="10">
        <v>170157</v>
      </c>
      <c r="CP14" s="58">
        <v>45379</v>
      </c>
      <c r="CQ14" s="10">
        <v>99737</v>
      </c>
      <c r="CR14" s="10">
        <v>99737</v>
      </c>
      <c r="CT14" s="58">
        <v>45365</v>
      </c>
      <c r="CU14" s="10">
        <v>15929</v>
      </c>
      <c r="CV14" s="10">
        <v>15929</v>
      </c>
    </row>
    <row r="15" spans="1:100" x14ac:dyDescent="0.25">
      <c r="A15">
        <f t="shared" si="3"/>
        <v>1</v>
      </c>
      <c r="C15"/>
      <c r="D15"/>
      <c r="E15">
        <v>6E-9</v>
      </c>
      <c r="F15" s="10">
        <f t="shared" si="4"/>
        <v>6E-9</v>
      </c>
      <c r="V15" s="14" t="s">
        <v>44</v>
      </c>
      <c r="W15" s="10">
        <v>7</v>
      </c>
      <c r="X15" s="39">
        <v>1.3403285719756444E-4</v>
      </c>
      <c r="AC15" s="14">
        <v>31.286231884057973</v>
      </c>
      <c r="AD15" s="10">
        <v>1</v>
      </c>
      <c r="AY15" s="14">
        <v>28.291511771995044</v>
      </c>
      <c r="BB15" s="14">
        <v>11.570133587786259</v>
      </c>
      <c r="BK15" s="14" t="s">
        <v>42</v>
      </c>
      <c r="BL15" s="10">
        <v>6508</v>
      </c>
      <c r="BN15" s="14" t="s">
        <v>30</v>
      </c>
      <c r="BO15" s="10">
        <v>2542</v>
      </c>
      <c r="BU15" t="s">
        <v>44</v>
      </c>
      <c r="BV15" t="s">
        <v>66</v>
      </c>
      <c r="CB15" s="14" t="s">
        <v>31</v>
      </c>
      <c r="CC15" s="10">
        <v>6214</v>
      </c>
      <c r="CF15" s="14" t="s">
        <v>24</v>
      </c>
      <c r="CG15" s="10">
        <v>170019</v>
      </c>
      <c r="CH15" s="10"/>
      <c r="CI15" s="10">
        <v>170019</v>
      </c>
      <c r="CK15" s="14" t="s">
        <v>40</v>
      </c>
      <c r="CL15" s="10">
        <v>11730</v>
      </c>
      <c r="CM15" s="10"/>
      <c r="CN15" s="10">
        <v>11730</v>
      </c>
      <c r="CP15" s="58" t="s">
        <v>2</v>
      </c>
      <c r="CQ15" s="10">
        <v>490527</v>
      </c>
      <c r="CR15" s="10">
        <v>490527</v>
      </c>
      <c r="CT15" s="58">
        <v>45366</v>
      </c>
      <c r="CU15" s="10">
        <v>30422</v>
      </c>
      <c r="CV15" s="10">
        <v>30422</v>
      </c>
    </row>
    <row r="16" spans="1:100" x14ac:dyDescent="0.25">
      <c r="Q16" t="s">
        <v>37</v>
      </c>
      <c r="R16" t="s">
        <v>10</v>
      </c>
      <c r="V16" s="14" t="s">
        <v>45</v>
      </c>
      <c r="W16" s="10">
        <v>44896</v>
      </c>
      <c r="X16" s="39">
        <v>0.85964845096312181</v>
      </c>
      <c r="AC16" s="14">
        <v>31.389570552147241</v>
      </c>
      <c r="AD16" s="10">
        <v>1</v>
      </c>
      <c r="AY16" s="14">
        <v>28.321570766293974</v>
      </c>
      <c r="BB16" s="14">
        <v>11.570961718020541</v>
      </c>
      <c r="BK16" s="14" t="s">
        <v>40</v>
      </c>
      <c r="BL16" s="10">
        <v>11730</v>
      </c>
      <c r="BN16" s="14" t="s">
        <v>32</v>
      </c>
      <c r="BO16" s="10">
        <v>417</v>
      </c>
      <c r="BU16" t="s">
        <v>41</v>
      </c>
      <c r="BV16" t="s">
        <v>66</v>
      </c>
      <c r="CB16" s="14" t="s">
        <v>33</v>
      </c>
      <c r="CC16" s="10">
        <v>9152</v>
      </c>
      <c r="CF16" s="57" t="s">
        <v>67</v>
      </c>
      <c r="CG16" s="10">
        <v>170019</v>
      </c>
      <c r="CH16" s="10"/>
      <c r="CI16" s="10">
        <v>170019</v>
      </c>
      <c r="CK16" s="57" t="s">
        <v>67</v>
      </c>
      <c r="CL16" s="10">
        <v>11730</v>
      </c>
      <c r="CM16" s="10"/>
      <c r="CN16" s="10">
        <v>11730</v>
      </c>
      <c r="CT16" s="58">
        <v>45367</v>
      </c>
      <c r="CU16" s="10">
        <v>15575</v>
      </c>
      <c r="CV16" s="10">
        <v>15575</v>
      </c>
    </row>
    <row r="17" spans="17:100" x14ac:dyDescent="0.25">
      <c r="Q17" t="s">
        <v>38</v>
      </c>
      <c r="R17" t="s">
        <v>7</v>
      </c>
      <c r="V17" s="14" t="s">
        <v>46</v>
      </c>
      <c r="W17" s="10">
        <v>266</v>
      </c>
      <c r="X17" s="39">
        <v>5.093248573507448E-3</v>
      </c>
      <c r="AC17" s="14">
        <v>32.409365558912384</v>
      </c>
      <c r="AD17" s="10">
        <v>1</v>
      </c>
      <c r="AY17" s="14">
        <v>28.912596006144394</v>
      </c>
      <c r="BB17" s="14">
        <v>11.779294653014789</v>
      </c>
      <c r="BK17" s="14" t="s">
        <v>38</v>
      </c>
      <c r="BL17" s="10">
        <v>13733</v>
      </c>
      <c r="BN17" s="14" t="s">
        <v>31</v>
      </c>
      <c r="BO17" s="10">
        <v>6214</v>
      </c>
      <c r="CB17" s="14" t="s">
        <v>2</v>
      </c>
      <c r="CC17" s="10">
        <v>31444</v>
      </c>
      <c r="CF17" s="14" t="s">
        <v>27</v>
      </c>
      <c r="CG17" s="10">
        <v>760</v>
      </c>
      <c r="CH17" s="10"/>
      <c r="CI17" s="10">
        <v>760</v>
      </c>
      <c r="CK17" s="14" t="s">
        <v>41</v>
      </c>
      <c r="CL17" s="10">
        <v>1314</v>
      </c>
      <c r="CM17" s="10"/>
      <c r="CN17" s="10">
        <v>1314</v>
      </c>
      <c r="CT17" s="58">
        <v>45369</v>
      </c>
      <c r="CU17" s="10">
        <v>22147</v>
      </c>
      <c r="CV17" s="10">
        <v>22147</v>
      </c>
    </row>
    <row r="18" spans="17:100" x14ac:dyDescent="0.25">
      <c r="Q18" t="s">
        <v>40</v>
      </c>
      <c r="R18" t="s">
        <v>10</v>
      </c>
      <c r="V18" s="14" t="s">
        <v>47</v>
      </c>
      <c r="W18" s="10">
        <v>1451</v>
      </c>
      <c r="X18" s="39">
        <v>2.7783096541952285E-2</v>
      </c>
      <c r="AC18" s="14">
        <v>33.137755102040813</v>
      </c>
      <c r="AD18" s="10">
        <v>1</v>
      </c>
      <c r="AY18" s="14">
        <v>28.925387320596901</v>
      </c>
      <c r="BB18" s="14">
        <v>11.883529411764705</v>
      </c>
      <c r="BK18" s="14" t="s">
        <v>43</v>
      </c>
      <c r="BL18" s="10">
        <v>26685</v>
      </c>
      <c r="BN18" s="14" t="s">
        <v>33</v>
      </c>
      <c r="BO18" s="10">
        <v>9152</v>
      </c>
      <c r="CF18" s="57" t="s">
        <v>66</v>
      </c>
      <c r="CG18" s="10">
        <v>760</v>
      </c>
      <c r="CH18" s="10"/>
      <c r="CI18" s="10">
        <v>760</v>
      </c>
      <c r="CK18" s="57" t="s">
        <v>66</v>
      </c>
      <c r="CL18" s="10">
        <v>1314</v>
      </c>
      <c r="CM18" s="10"/>
      <c r="CN18" s="10">
        <v>1314</v>
      </c>
      <c r="CT18" s="58">
        <v>45370</v>
      </c>
      <c r="CU18" s="10">
        <v>45222</v>
      </c>
      <c r="CV18" s="10">
        <v>45222</v>
      </c>
    </row>
    <row r="19" spans="17:100" x14ac:dyDescent="0.25">
      <c r="Q19" t="s">
        <v>41</v>
      </c>
      <c r="R19" t="s">
        <v>10</v>
      </c>
      <c r="V19" s="14" t="s">
        <v>48</v>
      </c>
      <c r="W19" s="10">
        <v>11</v>
      </c>
      <c r="X19" s="39">
        <v>2.106230613104584E-4</v>
      </c>
      <c r="AC19" s="14">
        <v>49.851826326671258</v>
      </c>
      <c r="AD19" s="10">
        <v>1</v>
      </c>
      <c r="AY19" s="14">
        <v>29.112105588781191</v>
      </c>
      <c r="BB19" s="14">
        <v>12.000548546352167</v>
      </c>
      <c r="BK19" s="14" t="s">
        <v>39</v>
      </c>
      <c r="BL19" s="10">
        <v>170157</v>
      </c>
      <c r="BN19" s="14" t="s">
        <v>2</v>
      </c>
      <c r="BO19" s="10">
        <v>292011</v>
      </c>
      <c r="CF19" s="14" t="s">
        <v>28</v>
      </c>
      <c r="CG19" s="10">
        <v>3814</v>
      </c>
      <c r="CH19" s="10"/>
      <c r="CI19" s="10">
        <v>3814</v>
      </c>
      <c r="CK19" s="14" t="s">
        <v>42</v>
      </c>
      <c r="CL19" s="10">
        <v>6508</v>
      </c>
      <c r="CM19" s="10"/>
      <c r="CN19" s="10">
        <v>6508</v>
      </c>
      <c r="CT19" s="58">
        <v>45371</v>
      </c>
      <c r="CU19" s="10">
        <v>25111</v>
      </c>
      <c r="CV19" s="10">
        <v>25111</v>
      </c>
    </row>
    <row r="20" spans="17:100" x14ac:dyDescent="0.25">
      <c r="Q20" t="s">
        <v>42</v>
      </c>
      <c r="R20" t="s">
        <v>10</v>
      </c>
      <c r="V20" s="14" t="s">
        <v>2</v>
      </c>
      <c r="W20" s="10">
        <v>52226</v>
      </c>
      <c r="X20" s="39">
        <v>1</v>
      </c>
      <c r="AC20" s="14" t="s">
        <v>2</v>
      </c>
      <c r="AD20" s="10">
        <v>10</v>
      </c>
      <c r="AY20" s="14">
        <v>29.113570254205136</v>
      </c>
      <c r="BB20" s="14">
        <v>12.37407195888064</v>
      </c>
      <c r="BK20" s="14" t="s">
        <v>45</v>
      </c>
      <c r="BL20" s="10">
        <v>250425</v>
      </c>
      <c r="CF20" s="57" t="s">
        <v>66</v>
      </c>
      <c r="CG20" s="10">
        <v>3814</v>
      </c>
      <c r="CH20" s="10"/>
      <c r="CI20" s="10">
        <v>3814</v>
      </c>
      <c r="CK20" s="57" t="s">
        <v>66</v>
      </c>
      <c r="CL20" s="10">
        <v>6508</v>
      </c>
      <c r="CM20" s="10"/>
      <c r="CN20" s="10">
        <v>6508</v>
      </c>
      <c r="CT20" s="58">
        <v>45372</v>
      </c>
      <c r="CU20" s="10">
        <v>18785</v>
      </c>
      <c r="CV20" s="10">
        <v>18785</v>
      </c>
    </row>
    <row r="21" spans="17:100" x14ac:dyDescent="0.25">
      <c r="Q21" t="s">
        <v>44</v>
      </c>
      <c r="R21" t="s">
        <v>9</v>
      </c>
      <c r="AY21" s="14">
        <v>32.260427263479144</v>
      </c>
      <c r="BB21" s="14">
        <v>12.485153037916858</v>
      </c>
      <c r="BK21" s="14" t="s">
        <v>2</v>
      </c>
      <c r="BL21" s="10">
        <v>490527</v>
      </c>
      <c r="CF21" s="14" t="s">
        <v>29</v>
      </c>
      <c r="CG21" s="10">
        <v>3435</v>
      </c>
      <c r="CH21" s="10"/>
      <c r="CI21" s="10">
        <v>3435</v>
      </c>
      <c r="CK21" s="14" t="s">
        <v>49</v>
      </c>
      <c r="CL21" s="10"/>
      <c r="CM21" s="10">
        <v>192</v>
      </c>
      <c r="CN21" s="10">
        <v>192</v>
      </c>
      <c r="CT21" s="58">
        <v>45373</v>
      </c>
      <c r="CU21" s="10">
        <v>19256</v>
      </c>
      <c r="CV21" s="10">
        <v>19256</v>
      </c>
    </row>
    <row r="22" spans="17:100" x14ac:dyDescent="0.25">
      <c r="Q22" t="s">
        <v>45</v>
      </c>
      <c r="R22" t="s">
        <v>10</v>
      </c>
      <c r="AY22" s="14">
        <v>33.200000000000003</v>
      </c>
      <c r="BB22" s="14">
        <v>17.714285714285715</v>
      </c>
      <c r="CF22" s="57" t="s">
        <v>66</v>
      </c>
      <c r="CG22" s="10">
        <v>3435</v>
      </c>
      <c r="CH22" s="10"/>
      <c r="CI22" s="10">
        <v>3435</v>
      </c>
      <c r="CK22" s="57" t="s">
        <v>67</v>
      </c>
      <c r="CL22" s="10"/>
      <c r="CM22" s="10">
        <v>192</v>
      </c>
      <c r="CN22" s="10">
        <v>192</v>
      </c>
      <c r="CT22" s="58" t="s">
        <v>2</v>
      </c>
      <c r="CU22" s="10">
        <v>292011</v>
      </c>
      <c r="CV22" s="10">
        <v>292011</v>
      </c>
    </row>
    <row r="23" spans="17:100" x14ac:dyDescent="0.25">
      <c r="Q23" t="s">
        <v>46</v>
      </c>
      <c r="R23" t="s">
        <v>9</v>
      </c>
      <c r="AY23" s="14">
        <v>33.625592417061611</v>
      </c>
      <c r="BB23" s="14">
        <v>19</v>
      </c>
      <c r="CF23" s="14" t="s">
        <v>30</v>
      </c>
      <c r="CG23" s="10">
        <v>2542</v>
      </c>
      <c r="CH23" s="10"/>
      <c r="CI23" s="10">
        <v>2542</v>
      </c>
      <c r="CK23" s="14" t="s">
        <v>43</v>
      </c>
      <c r="CL23" s="10"/>
      <c r="CM23" s="10">
        <v>26685</v>
      </c>
      <c r="CN23" s="10">
        <v>26685</v>
      </c>
    </row>
    <row r="24" spans="17:100" x14ac:dyDescent="0.25">
      <c r="Q24" t="s">
        <v>47</v>
      </c>
      <c r="R24" t="s">
        <v>9</v>
      </c>
      <c r="AY24" s="14">
        <v>35.382428940568474</v>
      </c>
      <c r="BB24" s="14">
        <v>19.8</v>
      </c>
      <c r="BK24" s="55" t="s">
        <v>64</v>
      </c>
      <c r="BL24" s="56" t="s">
        <v>65</v>
      </c>
      <c r="CF24" s="57" t="s">
        <v>66</v>
      </c>
      <c r="CG24" s="10">
        <v>2542</v>
      </c>
      <c r="CH24" s="10"/>
      <c r="CI24" s="10">
        <v>2542</v>
      </c>
      <c r="CK24" s="57" t="s">
        <v>67</v>
      </c>
      <c r="CL24" s="10"/>
      <c r="CM24" s="10">
        <v>26685</v>
      </c>
      <c r="CN24" s="10">
        <v>26685</v>
      </c>
    </row>
    <row r="25" spans="17:100" x14ac:dyDescent="0.25">
      <c r="Q25" t="s">
        <v>48</v>
      </c>
      <c r="R25" t="s">
        <v>9</v>
      </c>
      <c r="AY25" s="14">
        <v>35.668810289389064</v>
      </c>
      <c r="BB25" s="14">
        <v>19.954545454545453</v>
      </c>
      <c r="BK25" s="51" t="s">
        <v>37</v>
      </c>
      <c r="BL25" s="52">
        <f>IFERROR(VLOOKUP(BK25,$BK$8:$BL$20,2,0),0)</f>
        <v>1652</v>
      </c>
      <c r="CF25" s="14" t="s">
        <v>32</v>
      </c>
      <c r="CG25" s="10">
        <v>417</v>
      </c>
      <c r="CH25" s="10"/>
      <c r="CI25" s="10">
        <v>417</v>
      </c>
      <c r="CK25" s="14" t="s">
        <v>44</v>
      </c>
      <c r="CL25" s="10">
        <v>39</v>
      </c>
      <c r="CM25" s="10"/>
      <c r="CN25" s="10">
        <v>39</v>
      </c>
    </row>
    <row r="26" spans="17:100" x14ac:dyDescent="0.25">
      <c r="AY26" s="14">
        <v>36.488188976377955</v>
      </c>
      <c r="BB26" s="14">
        <v>20.083333333333332</v>
      </c>
      <c r="BK26" s="51" t="s">
        <v>38</v>
      </c>
      <c r="BL26" s="52">
        <f>IFERROR(VLOOKUP(BK26,$BK$8:$BL$20,2,0),0)</f>
        <v>13733</v>
      </c>
      <c r="CF26" s="57" t="s">
        <v>66</v>
      </c>
      <c r="CG26" s="10">
        <v>417</v>
      </c>
      <c r="CH26" s="10"/>
      <c r="CI26" s="10">
        <v>417</v>
      </c>
      <c r="CK26" s="57" t="s">
        <v>66</v>
      </c>
      <c r="CL26" s="10">
        <v>39</v>
      </c>
      <c r="CM26" s="10"/>
      <c r="CN26" s="10">
        <v>39</v>
      </c>
    </row>
    <row r="27" spans="17:100" x14ac:dyDescent="0.25">
      <c r="AY27" s="14">
        <v>37.486607142857146</v>
      </c>
      <c r="BB27" s="14">
        <v>20.727272727272727</v>
      </c>
      <c r="BK27" s="53" t="s">
        <v>25</v>
      </c>
      <c r="BL27" s="54">
        <f>IFERROR(VLOOKUP(BK27,$BN$8:$BO$21,2,0),0)</f>
        <v>2426</v>
      </c>
      <c r="CF27" s="14" t="s">
        <v>31</v>
      </c>
      <c r="CG27" s="10">
        <v>6214</v>
      </c>
      <c r="CH27" s="10"/>
      <c r="CI27" s="10">
        <v>6214</v>
      </c>
      <c r="CK27" s="14" t="s">
        <v>45</v>
      </c>
      <c r="CL27" s="10">
        <v>250425</v>
      </c>
      <c r="CM27" s="10"/>
      <c r="CN27" s="10">
        <v>250425</v>
      </c>
    </row>
    <row r="28" spans="17:100" x14ac:dyDescent="0.25">
      <c r="AY28" s="14">
        <v>37.794520547945204</v>
      </c>
      <c r="BB28" s="14">
        <v>21.5</v>
      </c>
      <c r="BK28" s="53" t="s">
        <v>26</v>
      </c>
      <c r="BL28" s="54">
        <f>IFERROR(VLOOKUP(BK28,$BN$8:$BO$21,2,0),0)</f>
        <v>2684</v>
      </c>
      <c r="CF28" s="57" t="s">
        <v>66</v>
      </c>
      <c r="CG28" s="10">
        <v>6214</v>
      </c>
      <c r="CH28" s="10"/>
      <c r="CI28" s="10">
        <v>6214</v>
      </c>
      <c r="CK28" s="57" t="s">
        <v>67</v>
      </c>
      <c r="CL28" s="10">
        <v>250425</v>
      </c>
      <c r="CM28" s="10"/>
      <c r="CN28" s="10">
        <v>250425</v>
      </c>
    </row>
    <row r="29" spans="17:100" x14ac:dyDescent="0.25">
      <c r="AY29" s="14">
        <v>37.820512820512818</v>
      </c>
      <c r="BB29" s="14">
        <v>22</v>
      </c>
      <c r="BK29" s="51" t="s">
        <v>39</v>
      </c>
      <c r="BL29" s="52">
        <f t="shared" ref="BL29:BL35" si="5">IFERROR(VLOOKUP(BK29,$BK$8:$BL$20,2,0),0)</f>
        <v>170157</v>
      </c>
      <c r="CF29" s="14" t="s">
        <v>33</v>
      </c>
      <c r="CG29" s="10">
        <v>9152</v>
      </c>
      <c r="CH29" s="10"/>
      <c r="CI29" s="10">
        <v>9152</v>
      </c>
      <c r="CK29" s="14" t="s">
        <v>46</v>
      </c>
      <c r="CL29" s="10">
        <v>1681</v>
      </c>
      <c r="CM29" s="10"/>
      <c r="CN29" s="10">
        <v>1681</v>
      </c>
    </row>
    <row r="30" spans="17:100" x14ac:dyDescent="0.25">
      <c r="AY30" s="14">
        <v>37.993827160493829</v>
      </c>
      <c r="BB30" s="14">
        <v>23</v>
      </c>
      <c r="BK30" s="51" t="s">
        <v>40</v>
      </c>
      <c r="BL30" s="52">
        <f t="shared" si="5"/>
        <v>11730</v>
      </c>
      <c r="CF30" s="57" t="s">
        <v>66</v>
      </c>
      <c r="CG30" s="10">
        <v>9152</v>
      </c>
      <c r="CH30" s="10"/>
      <c r="CI30" s="10">
        <v>9152</v>
      </c>
      <c r="CK30" s="57" t="s">
        <v>66</v>
      </c>
      <c r="CL30" s="10">
        <v>1681</v>
      </c>
      <c r="CM30" s="10"/>
      <c r="CN30" s="10">
        <v>1681</v>
      </c>
    </row>
    <row r="31" spans="17:100" x14ac:dyDescent="0.25">
      <c r="AY31" s="14">
        <v>38.168350168350166</v>
      </c>
      <c r="BB31" s="14">
        <v>23.5</v>
      </c>
      <c r="BK31" s="51" t="s">
        <v>41</v>
      </c>
      <c r="BL31" s="52">
        <f t="shared" si="5"/>
        <v>1314</v>
      </c>
      <c r="BY31" s="13" t="s">
        <v>16</v>
      </c>
      <c r="BZ31" t="s">
        <v>36</v>
      </c>
      <c r="CB31" s="13" t="s">
        <v>16</v>
      </c>
      <c r="CC31" t="s">
        <v>36</v>
      </c>
      <c r="CF31" s="14" t="s">
        <v>2</v>
      </c>
      <c r="CG31" s="10">
        <v>201463</v>
      </c>
      <c r="CH31" s="10">
        <v>90548</v>
      </c>
      <c r="CI31" s="10">
        <v>292011</v>
      </c>
      <c r="CK31" s="14" t="s">
        <v>47</v>
      </c>
      <c r="CL31" s="10">
        <v>6351</v>
      </c>
      <c r="CM31" s="10"/>
      <c r="CN31" s="10">
        <v>6351</v>
      </c>
    </row>
    <row r="32" spans="17:100" x14ac:dyDescent="0.25">
      <c r="AY32" s="14">
        <v>38.479310344827589</v>
      </c>
      <c r="BB32" s="14">
        <v>23.571428571428573</v>
      </c>
      <c r="BK32" s="51" t="s">
        <v>42</v>
      </c>
      <c r="BL32" s="52">
        <f t="shared" si="5"/>
        <v>6508</v>
      </c>
      <c r="BY32" s="13" t="s">
        <v>63</v>
      </c>
      <c r="BZ32" t="s">
        <v>67</v>
      </c>
      <c r="CB32" s="13" t="s">
        <v>63</v>
      </c>
      <c r="CC32" t="s">
        <v>66</v>
      </c>
      <c r="CK32" s="57" t="s">
        <v>66</v>
      </c>
      <c r="CL32" s="10">
        <v>6351</v>
      </c>
      <c r="CM32" s="10"/>
      <c r="CN32" s="10">
        <v>6351</v>
      </c>
    </row>
    <row r="33" spans="51:92" x14ac:dyDescent="0.25">
      <c r="AY33" s="14">
        <v>38.511627906976742</v>
      </c>
      <c r="BB33" s="14">
        <v>25.666666666666668</v>
      </c>
      <c r="BK33" s="51" t="s">
        <v>49</v>
      </c>
      <c r="BL33" s="52">
        <f t="shared" si="5"/>
        <v>192</v>
      </c>
      <c r="CK33" s="14" t="s">
        <v>48</v>
      </c>
      <c r="CL33" s="10">
        <v>60</v>
      </c>
      <c r="CM33" s="10"/>
      <c r="CN33" s="10">
        <v>60</v>
      </c>
    </row>
    <row r="34" spans="51:92" x14ac:dyDescent="0.25">
      <c r="AY34" s="14">
        <v>38.774193548387096</v>
      </c>
      <c r="BB34" s="14">
        <v>26.162790697674417</v>
      </c>
      <c r="BK34" s="51" t="s">
        <v>43</v>
      </c>
      <c r="BL34" s="52">
        <f t="shared" si="5"/>
        <v>26685</v>
      </c>
      <c r="BY34" s="13" t="s">
        <v>1</v>
      </c>
      <c r="BZ34" s="10" t="s">
        <v>21</v>
      </c>
      <c r="CB34" s="13" t="s">
        <v>1</v>
      </c>
      <c r="CC34" s="10" t="s">
        <v>21</v>
      </c>
      <c r="CK34" s="57" t="s">
        <v>66</v>
      </c>
      <c r="CL34" s="10">
        <v>60</v>
      </c>
      <c r="CM34" s="10"/>
      <c r="CN34" s="10">
        <v>60</v>
      </c>
    </row>
    <row r="35" spans="51:92" x14ac:dyDescent="0.25">
      <c r="AY35" s="14">
        <v>38.797468354430379</v>
      </c>
      <c r="BB35" s="14">
        <v>26.357894736842105</v>
      </c>
      <c r="BK35" s="51" t="s">
        <v>44</v>
      </c>
      <c r="BL35" s="52">
        <f t="shared" si="5"/>
        <v>39</v>
      </c>
      <c r="BY35" s="14" t="s">
        <v>37</v>
      </c>
      <c r="BZ35" s="10">
        <v>1652</v>
      </c>
      <c r="CB35" s="14" t="s">
        <v>41</v>
      </c>
      <c r="CC35" s="10">
        <v>1314</v>
      </c>
      <c r="CK35" s="14" t="s">
        <v>2</v>
      </c>
      <c r="CL35" s="10">
        <v>293493</v>
      </c>
      <c r="CM35" s="10">
        <v>197034</v>
      </c>
      <c r="CN35" s="10">
        <v>490527</v>
      </c>
    </row>
    <row r="36" spans="51:92" x14ac:dyDescent="0.25">
      <c r="AY36" s="14">
        <v>38.845360824742265</v>
      </c>
      <c r="BB36" s="14">
        <v>26.62857142857143</v>
      </c>
      <c r="BK36" s="53" t="s">
        <v>34</v>
      </c>
      <c r="BL36" s="54">
        <f>IFERROR(VLOOKUP(BK36,$BN$8:$BO$21,2,0),0)</f>
        <v>90548</v>
      </c>
      <c r="BO36" s="7"/>
      <c r="BY36" s="14" t="s">
        <v>38</v>
      </c>
      <c r="BZ36" s="10">
        <v>13733</v>
      </c>
      <c r="CB36" s="14" t="s">
        <v>42</v>
      </c>
      <c r="CC36" s="10">
        <v>6508</v>
      </c>
    </row>
    <row r="37" spans="51:92" x14ac:dyDescent="0.25">
      <c r="AY37" s="14">
        <v>38.920529801324506</v>
      </c>
      <c r="BB37" s="14">
        <v>26.676691729323309</v>
      </c>
      <c r="BK37" s="51" t="s">
        <v>45</v>
      </c>
      <c r="BL37" s="52">
        <f>IFERROR(VLOOKUP(BK37,$BK$8:$BL$20,2,0),0)</f>
        <v>250425</v>
      </c>
      <c r="BO37" s="7"/>
      <c r="BY37" s="14" t="s">
        <v>39</v>
      </c>
      <c r="BZ37" s="10">
        <v>170157</v>
      </c>
      <c r="CB37" s="14" t="s">
        <v>44</v>
      </c>
      <c r="CC37" s="10">
        <v>39</v>
      </c>
    </row>
    <row r="38" spans="51:92" x14ac:dyDescent="0.25">
      <c r="AY38" s="14">
        <v>39.037854889589909</v>
      </c>
      <c r="BB38" s="14">
        <v>26.807280513918631</v>
      </c>
      <c r="BK38" s="51" t="s">
        <v>46</v>
      </c>
      <c r="BL38" s="52">
        <f>IFERROR(VLOOKUP(BK38,$BK$8:$BL$20,2,0),0)</f>
        <v>1681</v>
      </c>
      <c r="BY38" s="14" t="s">
        <v>40</v>
      </c>
      <c r="BZ38" s="10">
        <v>11730</v>
      </c>
      <c r="CB38" s="14" t="s">
        <v>46</v>
      </c>
      <c r="CC38" s="10">
        <v>1681</v>
      </c>
    </row>
    <row r="39" spans="51:92" x14ac:dyDescent="0.25">
      <c r="AY39" s="14">
        <v>39.1875</v>
      </c>
      <c r="BB39" s="14">
        <v>26.85823754789272</v>
      </c>
      <c r="BK39" s="51" t="s">
        <v>47</v>
      </c>
      <c r="BL39" s="52">
        <f>IFERROR(VLOOKUP(BK39,$BK$8:$BL$20,2,0),0)</f>
        <v>6351</v>
      </c>
      <c r="BY39" s="14" t="s">
        <v>49</v>
      </c>
      <c r="BZ39" s="10">
        <v>192</v>
      </c>
      <c r="CB39" s="14" t="s">
        <v>47</v>
      </c>
      <c r="CC39" s="10">
        <v>6351</v>
      </c>
    </row>
    <row r="40" spans="51:92" x14ac:dyDescent="0.25">
      <c r="AY40" s="14">
        <v>39.655021834061138</v>
      </c>
      <c r="BB40" s="14">
        <v>27.053872053872055</v>
      </c>
      <c r="BK40" s="53" t="s">
        <v>24</v>
      </c>
      <c r="BL40" s="54">
        <f t="shared" ref="BL40:BL47" si="6">IFERROR(VLOOKUP(BK40,$BN$8:$BO$21,2,0),0)</f>
        <v>170019</v>
      </c>
      <c r="BY40" s="14" t="s">
        <v>43</v>
      </c>
      <c r="BZ40" s="10">
        <v>26685</v>
      </c>
      <c r="CB40" s="14" t="s">
        <v>48</v>
      </c>
      <c r="CC40" s="10">
        <v>60</v>
      </c>
    </row>
    <row r="41" spans="51:92" x14ac:dyDescent="0.25">
      <c r="AY41" s="14">
        <v>39.901162790697676</v>
      </c>
      <c r="BB41" s="14">
        <v>27.119230769230768</v>
      </c>
      <c r="BK41" s="53" t="s">
        <v>27</v>
      </c>
      <c r="BL41" s="54">
        <f t="shared" si="6"/>
        <v>760</v>
      </c>
      <c r="BY41" s="14" t="s">
        <v>45</v>
      </c>
      <c r="BZ41" s="10">
        <v>250425</v>
      </c>
      <c r="CB41" s="14" t="s">
        <v>2</v>
      </c>
      <c r="CC41" s="10">
        <v>15953</v>
      </c>
    </row>
    <row r="42" spans="51:92" x14ac:dyDescent="0.25">
      <c r="AY42" s="14">
        <v>40.029166666666669</v>
      </c>
      <c r="BB42" s="14">
        <v>28.713043478260868</v>
      </c>
      <c r="BK42" s="53" t="s">
        <v>28</v>
      </c>
      <c r="BL42" s="54">
        <f t="shared" si="6"/>
        <v>3814</v>
      </c>
      <c r="BY42" s="14" t="s">
        <v>2</v>
      </c>
      <c r="BZ42" s="10">
        <v>474574</v>
      </c>
    </row>
    <row r="43" spans="51:92" x14ac:dyDescent="0.25">
      <c r="AY43" s="14">
        <v>40.258064516129032</v>
      </c>
      <c r="BB43" s="14">
        <v>29.25531914893617</v>
      </c>
      <c r="BK43" s="53" t="s">
        <v>29</v>
      </c>
      <c r="BL43" s="54">
        <f t="shared" si="6"/>
        <v>3435</v>
      </c>
    </row>
    <row r="44" spans="51:92" x14ac:dyDescent="0.25">
      <c r="AY44" s="14">
        <v>40.791277258566979</v>
      </c>
      <c r="BB44" s="14">
        <v>29.574675324675326</v>
      </c>
      <c r="BK44" s="53" t="s">
        <v>30</v>
      </c>
      <c r="BL44" s="54">
        <f t="shared" si="6"/>
        <v>2542</v>
      </c>
    </row>
    <row r="45" spans="51:92" x14ac:dyDescent="0.25">
      <c r="AY45" s="14">
        <v>40.881818181818183</v>
      </c>
      <c r="BB45" s="14">
        <v>29.689655172413794</v>
      </c>
      <c r="BK45" s="53" t="s">
        <v>32</v>
      </c>
      <c r="BL45" s="54">
        <f t="shared" si="6"/>
        <v>417</v>
      </c>
    </row>
    <row r="46" spans="51:92" x14ac:dyDescent="0.25">
      <c r="AY46" s="14">
        <v>41.10696517412935</v>
      </c>
      <c r="BB46" s="14">
        <v>29.878184713375795</v>
      </c>
      <c r="BK46" s="53" t="s">
        <v>31</v>
      </c>
      <c r="BL46" s="54">
        <f t="shared" si="6"/>
        <v>6214</v>
      </c>
    </row>
    <row r="47" spans="51:92" x14ac:dyDescent="0.25">
      <c r="AY47" s="14">
        <v>41.166666666666664</v>
      </c>
      <c r="BB47" s="14">
        <v>29.976897689768975</v>
      </c>
      <c r="BK47" s="53" t="s">
        <v>33</v>
      </c>
      <c r="BL47" s="54">
        <f t="shared" si="6"/>
        <v>9152</v>
      </c>
    </row>
    <row r="48" spans="51:92" x14ac:dyDescent="0.25">
      <c r="AY48" s="14">
        <v>41.172413793103445</v>
      </c>
      <c r="BB48" s="14">
        <v>30.194366197183097</v>
      </c>
      <c r="BK48" s="51" t="s">
        <v>48</v>
      </c>
      <c r="BL48" s="52">
        <f>IFERROR(VLOOKUP(BK48,$BK$8:$BL$20,2,0),0)</f>
        <v>60</v>
      </c>
    </row>
    <row r="49" spans="51:64" x14ac:dyDescent="0.25">
      <c r="AY49" s="14">
        <v>41.25</v>
      </c>
      <c r="BB49" s="14">
        <v>30.71153846153846</v>
      </c>
      <c r="BK49" s="53"/>
      <c r="BL49" s="53"/>
    </row>
    <row r="50" spans="51:64" x14ac:dyDescent="0.25">
      <c r="AY50" s="14">
        <v>41.387096774193552</v>
      </c>
      <c r="BB50" s="14">
        <v>30.794188861985472</v>
      </c>
    </row>
    <row r="51" spans="51:64" x14ac:dyDescent="0.25">
      <c r="AY51" s="14">
        <v>41.617486338797811</v>
      </c>
      <c r="BB51" s="14">
        <v>30.900411522633746</v>
      </c>
    </row>
    <row r="52" spans="51:64" x14ac:dyDescent="0.25">
      <c r="AY52" s="14">
        <v>41.638297872340424</v>
      </c>
      <c r="BB52" s="14">
        <v>31.018867924528301</v>
      </c>
    </row>
    <row r="53" spans="51:64" x14ac:dyDescent="0.25">
      <c r="AY53" s="14">
        <v>41.646739130434781</v>
      </c>
      <c r="BB53" s="14">
        <v>31.022727272727273</v>
      </c>
    </row>
    <row r="54" spans="51:64" x14ac:dyDescent="0.25">
      <c r="AY54" s="14">
        <v>41.796875</v>
      </c>
      <c r="BB54" s="14">
        <v>31.024585125998772</v>
      </c>
    </row>
    <row r="55" spans="51:64" x14ac:dyDescent="0.25">
      <c r="AY55" s="14">
        <v>41.907849829351534</v>
      </c>
      <c r="BB55" s="14">
        <v>31.088259783513738</v>
      </c>
    </row>
    <row r="56" spans="51:64" x14ac:dyDescent="0.25">
      <c r="AY56" s="14">
        <v>41.967889908256879</v>
      </c>
      <c r="BB56" s="14">
        <v>31.139585605234462</v>
      </c>
    </row>
    <row r="57" spans="51:64" x14ac:dyDescent="0.25">
      <c r="AY57" s="14">
        <v>42.120418848167539</v>
      </c>
      <c r="BB57" s="14">
        <v>31.191858273652468</v>
      </c>
    </row>
    <row r="58" spans="51:64" x14ac:dyDescent="0.25">
      <c r="AY58" s="14">
        <v>42.173913043478258</v>
      </c>
      <c r="BB58" s="14">
        <v>31.192238267148014</v>
      </c>
    </row>
    <row r="59" spans="51:64" x14ac:dyDescent="0.25">
      <c r="AY59" s="14">
        <v>42.932835820895519</v>
      </c>
      <c r="BB59" s="14">
        <v>31.215686274509803</v>
      </c>
    </row>
    <row r="60" spans="51:64" x14ac:dyDescent="0.25">
      <c r="AY60" s="14">
        <v>43.177777777777777</v>
      </c>
      <c r="BB60" s="14">
        <v>31.286231884057973</v>
      </c>
    </row>
    <row r="61" spans="51:64" x14ac:dyDescent="0.25">
      <c r="AY61" s="14">
        <v>43.282608695652172</v>
      </c>
      <c r="BB61" s="14">
        <v>31.377880184331797</v>
      </c>
    </row>
    <row r="62" spans="51:64" x14ac:dyDescent="0.25">
      <c r="AY62" s="14">
        <v>43.819672131147541</v>
      </c>
      <c r="BB62" s="14">
        <v>31.389570552147241</v>
      </c>
    </row>
    <row r="63" spans="51:64" x14ac:dyDescent="0.25">
      <c r="AY63" s="14">
        <v>45.30833333333333</v>
      </c>
      <c r="BB63" s="14">
        <v>31.550286607608129</v>
      </c>
    </row>
    <row r="64" spans="51:64" x14ac:dyDescent="0.25">
      <c r="AY64" s="14">
        <v>45.548387096774192</v>
      </c>
      <c r="BB64" s="14">
        <v>31.670454545454547</v>
      </c>
    </row>
    <row r="65" spans="51:54" x14ac:dyDescent="0.25">
      <c r="AY65" s="14">
        <v>45.575949367088604</v>
      </c>
      <c r="BB65" s="14">
        <v>31.934497816593886</v>
      </c>
    </row>
    <row r="66" spans="51:54" x14ac:dyDescent="0.25">
      <c r="AY66" s="14">
        <v>47.247011952191237</v>
      </c>
      <c r="BB66" s="14">
        <v>32.116474291710389</v>
      </c>
    </row>
    <row r="67" spans="51:54" x14ac:dyDescent="0.25">
      <c r="AY67" s="14">
        <v>47.356275303643727</v>
      </c>
      <c r="BB67" s="14">
        <v>32.409365558912384</v>
      </c>
    </row>
    <row r="68" spans="51:54" x14ac:dyDescent="0.25">
      <c r="AY68" s="14">
        <v>47.941176470588232</v>
      </c>
      <c r="BB68" s="14">
        <v>33.137755102040813</v>
      </c>
    </row>
    <row r="69" spans="51:54" x14ac:dyDescent="0.25">
      <c r="AY69" s="14">
        <v>48.213740458015266</v>
      </c>
      <c r="BB69" s="14">
        <v>48.496350364963504</v>
      </c>
    </row>
    <row r="70" spans="51:54" x14ac:dyDescent="0.25">
      <c r="AY70" s="14">
        <v>48.288888888888891</v>
      </c>
      <c r="BB70" s="14">
        <v>49.214642262895175</v>
      </c>
    </row>
    <row r="71" spans="51:54" x14ac:dyDescent="0.25">
      <c r="AY71" s="14">
        <v>48.64</v>
      </c>
      <c r="BB71" s="14">
        <v>49.52752880921895</v>
      </c>
    </row>
    <row r="72" spans="51:54" x14ac:dyDescent="0.25">
      <c r="AY72" s="14">
        <v>48.692307692307693</v>
      </c>
      <c r="BB72" s="14">
        <v>49.555687909469924</v>
      </c>
    </row>
    <row r="73" spans="51:54" x14ac:dyDescent="0.25">
      <c r="AY73" s="14">
        <v>48.952380952380949</v>
      </c>
      <c r="BB73" s="14">
        <v>49.851826326671258</v>
      </c>
    </row>
    <row r="74" spans="51:54" x14ac:dyDescent="0.25">
      <c r="AY74" s="14">
        <v>49.109311740890689</v>
      </c>
      <c r="BB74" s="14">
        <v>50.126984126984127</v>
      </c>
    </row>
    <row r="75" spans="51:54" x14ac:dyDescent="0.25">
      <c r="AY75" s="14">
        <v>49.32421875</v>
      </c>
      <c r="BB75" s="14">
        <v>50.918978912319645</v>
      </c>
    </row>
    <row r="76" spans="51:54" x14ac:dyDescent="0.25">
      <c r="AY76" s="14">
        <v>49.510526315789477</v>
      </c>
      <c r="BB76" s="14" t="s">
        <v>2</v>
      </c>
    </row>
    <row r="77" spans="51:54" x14ac:dyDescent="0.25">
      <c r="AY77" s="14">
        <v>49.5781512605042</v>
      </c>
    </row>
    <row r="78" spans="51:54" x14ac:dyDescent="0.25">
      <c r="AY78" s="14">
        <v>49.617647058823529</v>
      </c>
    </row>
    <row r="79" spans="51:54" x14ac:dyDescent="0.25">
      <c r="AY79" s="14">
        <v>50.064516129032256</v>
      </c>
    </row>
    <row r="80" spans="51:54" x14ac:dyDescent="0.25">
      <c r="AY80" s="14">
        <v>50.157894736842103</v>
      </c>
    </row>
    <row r="81" spans="51:51" x14ac:dyDescent="0.25">
      <c r="AY81" s="14">
        <v>50.207999999999998</v>
      </c>
    </row>
    <row r="82" spans="51:51" x14ac:dyDescent="0.25">
      <c r="AY82" s="14">
        <v>50.4</v>
      </c>
    </row>
    <row r="83" spans="51:51" x14ac:dyDescent="0.25">
      <c r="AY83" s="14">
        <v>50.50112866817156</v>
      </c>
    </row>
    <row r="84" spans="51:51" x14ac:dyDescent="0.25">
      <c r="AY84" s="14">
        <v>50.610993657505283</v>
      </c>
    </row>
    <row r="85" spans="51:51" x14ac:dyDescent="0.25">
      <c r="AY85" s="14">
        <v>50.611814345991561</v>
      </c>
    </row>
    <row r="86" spans="51:51" x14ac:dyDescent="0.25">
      <c r="AY86" s="14">
        <v>50.794736842105266</v>
      </c>
    </row>
    <row r="87" spans="51:51" x14ac:dyDescent="0.25">
      <c r="AY87" s="14">
        <v>50.829861111111114</v>
      </c>
    </row>
    <row r="88" spans="51:51" x14ac:dyDescent="0.25">
      <c r="AY88" s="14">
        <v>50.882575757575758</v>
      </c>
    </row>
    <row r="89" spans="51:51" x14ac:dyDescent="0.25">
      <c r="AY89" s="14">
        <v>50.897435897435898</v>
      </c>
    </row>
    <row r="90" spans="51:51" x14ac:dyDescent="0.25">
      <c r="AY90" s="14">
        <v>51.146341463414636</v>
      </c>
    </row>
    <row r="91" spans="51:51" x14ac:dyDescent="0.25">
      <c r="AY91" s="14">
        <v>51.240437158469945</v>
      </c>
    </row>
    <row r="92" spans="51:51" x14ac:dyDescent="0.25">
      <c r="AY92" s="14">
        <v>51.412556053811656</v>
      </c>
    </row>
    <row r="93" spans="51:51" x14ac:dyDescent="0.25">
      <c r="AY93" s="14">
        <v>51.60878243512974</v>
      </c>
    </row>
    <row r="94" spans="51:51" x14ac:dyDescent="0.25">
      <c r="AY94" s="14">
        <v>51.621621621621621</v>
      </c>
    </row>
    <row r="95" spans="51:51" x14ac:dyDescent="0.25">
      <c r="AY95" s="14">
        <v>54.153846153846153</v>
      </c>
    </row>
    <row r="96" spans="51:51" x14ac:dyDescent="0.25">
      <c r="AY96" s="14">
        <v>54.6875</v>
      </c>
    </row>
    <row r="97" spans="51:51" x14ac:dyDescent="0.25">
      <c r="AY97" s="14">
        <v>54.8</v>
      </c>
    </row>
    <row r="98" spans="51:51" x14ac:dyDescent="0.25">
      <c r="AY98" s="14">
        <v>55.43292682926829</v>
      </c>
    </row>
    <row r="99" spans="51:51" x14ac:dyDescent="0.25">
      <c r="AY99" s="14">
        <v>55.706349206349209</v>
      </c>
    </row>
    <row r="100" spans="51:51" x14ac:dyDescent="0.25">
      <c r="AY100" s="14">
        <v>56.060679611650485</v>
      </c>
    </row>
    <row r="101" spans="51:51" x14ac:dyDescent="0.25">
      <c r="AY101" s="14">
        <v>57.218181818181819</v>
      </c>
    </row>
    <row r="102" spans="51:51" x14ac:dyDescent="0.25">
      <c r="AY102" s="14">
        <v>57.36</v>
      </c>
    </row>
    <row r="103" spans="51:51" x14ac:dyDescent="0.25">
      <c r="AY103" s="14">
        <v>58.081669691470054</v>
      </c>
    </row>
    <row r="104" spans="51:51" x14ac:dyDescent="0.25">
      <c r="AY104" s="14">
        <v>59.176470588235297</v>
      </c>
    </row>
    <row r="105" spans="51:51" x14ac:dyDescent="0.25">
      <c r="AY105" s="14">
        <v>59.212011577424022</v>
      </c>
    </row>
    <row r="106" spans="51:51" x14ac:dyDescent="0.25">
      <c r="AY106" s="14">
        <v>59.4</v>
      </c>
    </row>
    <row r="107" spans="51:51" x14ac:dyDescent="0.25">
      <c r="AY107" s="14">
        <v>60.193069306930695</v>
      </c>
    </row>
    <row r="108" spans="51:51" x14ac:dyDescent="0.25">
      <c r="AY108" s="14">
        <v>60.932203389830505</v>
      </c>
    </row>
    <row r="109" spans="51:51" x14ac:dyDescent="0.25">
      <c r="AY109" s="14">
        <v>60.99688958009331</v>
      </c>
    </row>
    <row r="110" spans="51:51" x14ac:dyDescent="0.25">
      <c r="AY110" s="14">
        <v>61.044210526315787</v>
      </c>
    </row>
    <row r="111" spans="51:51" x14ac:dyDescent="0.25">
      <c r="AY111" s="14">
        <v>61.220735785953174</v>
      </c>
    </row>
    <row r="112" spans="51:51" x14ac:dyDescent="0.25">
      <c r="AY112" s="14">
        <v>61.315789473684212</v>
      </c>
    </row>
    <row r="113" spans="51:51" x14ac:dyDescent="0.25">
      <c r="AY113" s="14">
        <v>61.421052631578945</v>
      </c>
    </row>
    <row r="114" spans="51:51" x14ac:dyDescent="0.25">
      <c r="AY114" s="14">
        <v>61.516129032258064</v>
      </c>
    </row>
    <row r="115" spans="51:51" x14ac:dyDescent="0.25">
      <c r="AY115" s="14">
        <v>61.556650246305416</v>
      </c>
    </row>
    <row r="116" spans="51:51" x14ac:dyDescent="0.25">
      <c r="AY116" s="14">
        <v>61.602112676056336</v>
      </c>
    </row>
    <row r="117" spans="51:51" x14ac:dyDescent="0.25">
      <c r="AY117" s="14">
        <v>61.633507853403138</v>
      </c>
    </row>
    <row r="118" spans="51:51" x14ac:dyDescent="0.25">
      <c r="AY118" s="14">
        <v>61.641025641025642</v>
      </c>
    </row>
    <row r="119" spans="51:51" x14ac:dyDescent="0.25">
      <c r="AY119" s="14">
        <v>61.84375</v>
      </c>
    </row>
    <row r="120" spans="51:51" x14ac:dyDescent="0.25">
      <c r="AY120" s="14">
        <v>61.849557522123895</v>
      </c>
    </row>
    <row r="121" spans="51:51" x14ac:dyDescent="0.25">
      <c r="AY121" s="14">
        <v>61.859477124183009</v>
      </c>
    </row>
    <row r="122" spans="51:51" x14ac:dyDescent="0.25">
      <c r="AY122" s="14">
        <v>61.869565217391305</v>
      </c>
    </row>
    <row r="123" spans="51:51" x14ac:dyDescent="0.25">
      <c r="AY123" s="14">
        <v>61.886128364389236</v>
      </c>
    </row>
    <row r="124" spans="51:51" x14ac:dyDescent="0.25">
      <c r="AY124" s="14">
        <v>61.953667953667953</v>
      </c>
    </row>
    <row r="125" spans="51:51" x14ac:dyDescent="0.25">
      <c r="AY125" s="14">
        <v>61.963099630996311</v>
      </c>
    </row>
    <row r="126" spans="51:51" x14ac:dyDescent="0.25">
      <c r="AY126" s="14">
        <v>62.055555555555557</v>
      </c>
    </row>
    <row r="127" spans="51:51" x14ac:dyDescent="0.25">
      <c r="AY127" s="14">
        <v>62.115384615384613</v>
      </c>
    </row>
    <row r="128" spans="51:51" x14ac:dyDescent="0.25">
      <c r="AY128" s="14">
        <v>62.46</v>
      </c>
    </row>
    <row r="129" spans="51:51" x14ac:dyDescent="0.25">
      <c r="AY129" s="14">
        <v>62.503472222222221</v>
      </c>
    </row>
    <row r="130" spans="51:51" x14ac:dyDescent="0.25">
      <c r="AY130" s="14">
        <v>62.716363636363639</v>
      </c>
    </row>
    <row r="131" spans="51:51" x14ac:dyDescent="0.25">
      <c r="AY131" s="14">
        <v>62.827235772357724</v>
      </c>
    </row>
    <row r="132" spans="51:51" x14ac:dyDescent="0.25">
      <c r="AY132" s="14">
        <v>62.928571428571431</v>
      </c>
    </row>
    <row r="133" spans="51:51" x14ac:dyDescent="0.25">
      <c r="AY133" s="14">
        <v>63.047619047619051</v>
      </c>
    </row>
    <row r="134" spans="51:51" x14ac:dyDescent="0.25">
      <c r="AY134" s="14">
        <v>63.171428571428571</v>
      </c>
    </row>
    <row r="135" spans="51:51" x14ac:dyDescent="0.25">
      <c r="AY135" s="14">
        <v>63.189189189189186</v>
      </c>
    </row>
    <row r="136" spans="51:51" x14ac:dyDescent="0.25">
      <c r="AY136" s="14">
        <v>63.21897810218978</v>
      </c>
    </row>
    <row r="137" spans="51:51" x14ac:dyDescent="0.25">
      <c r="AY137" s="14">
        <v>63.248275862068965</v>
      </c>
    </row>
    <row r="138" spans="51:51" x14ac:dyDescent="0.25">
      <c r="AY138" s="14">
        <v>63.281818181818181</v>
      </c>
    </row>
    <row r="139" spans="51:51" x14ac:dyDescent="0.25">
      <c r="AY139" s="14">
        <v>63.409638554216869</v>
      </c>
    </row>
    <row r="140" spans="51:51" x14ac:dyDescent="0.25">
      <c r="AY140" s="14">
        <v>63.426666666666669</v>
      </c>
    </row>
    <row r="141" spans="51:51" x14ac:dyDescent="0.25">
      <c r="AY141" s="14">
        <v>63.721153846153847</v>
      </c>
    </row>
    <row r="142" spans="51:51" x14ac:dyDescent="0.25">
      <c r="AY142" s="14">
        <v>63.82692307692308</v>
      </c>
    </row>
    <row r="143" spans="51:51" x14ac:dyDescent="0.25">
      <c r="AY143" s="14">
        <v>63.912500000000001</v>
      </c>
    </row>
    <row r="144" spans="51:51" x14ac:dyDescent="0.25">
      <c r="AY144" s="14">
        <v>64.229885057471265</v>
      </c>
    </row>
    <row r="145" spans="51:51" x14ac:dyDescent="0.25">
      <c r="AY145" s="14">
        <v>64.448979591836732</v>
      </c>
    </row>
    <row r="146" spans="51:51" x14ac:dyDescent="0.25">
      <c r="AY146" s="14">
        <v>64.575757575757578</v>
      </c>
    </row>
    <row r="147" spans="51:51" x14ac:dyDescent="0.25">
      <c r="AY147" s="14">
        <v>64.872340425531917</v>
      </c>
    </row>
    <row r="148" spans="51:51" x14ac:dyDescent="0.25">
      <c r="AY148" s="14" t="s">
        <v>2</v>
      </c>
    </row>
  </sheetData>
  <phoneticPr fontId="4" type="noConversion"/>
  <pageMargins left="0.7" right="0.7" top="0.75" bottom="0.75" header="0.3" footer="0.3"/>
  <drawing r:id="rId24"/>
  <tableParts count="1">
    <tablePart r:id="rId2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B8F61-F5A2-445C-BCBE-61C8A70BF4CC}">
  <sheetPr codeName="Hoja2"/>
  <dimension ref="A1:AX236"/>
  <sheetViews>
    <sheetView showGridLines="0" showRowColHeaders="0" workbookViewId="0">
      <pane ySplit="1" topLeftCell="A2" activePane="bottomLeft" state="frozen"/>
      <selection activeCell="F345" sqref="D29:F345"/>
      <selection pane="bottomLeft" activeCell="C207" sqref="C207"/>
    </sheetView>
  </sheetViews>
  <sheetFormatPr baseColWidth="10" defaultRowHeight="15" x14ac:dyDescent="0.25"/>
  <cols>
    <col min="1" max="1" width="15.7109375" style="2" customWidth="1"/>
    <col min="2" max="2" width="15.7109375" style="4" customWidth="1"/>
    <col min="3" max="3" width="34.5703125" customWidth="1"/>
    <col min="4" max="4" width="24.28515625" style="12" customWidth="1"/>
    <col min="5" max="5" width="15.7109375" style="7" customWidth="1"/>
    <col min="6" max="6" width="20.28515625" style="7" bestFit="1" customWidth="1"/>
    <col min="7" max="7" width="22.85546875" style="41" customWidth="1"/>
    <col min="8" max="8" width="24.28515625" style="12" bestFit="1" customWidth="1"/>
    <col min="9" max="9" width="24.28515625" style="12" hidden="1" customWidth="1"/>
    <col min="10" max="10" width="24.28515625" style="12" customWidth="1"/>
    <col min="11" max="11" width="18.7109375" style="31" customWidth="1"/>
    <col min="12" max="13" width="15.7109375" customWidth="1"/>
    <col min="14" max="14" width="18.5703125" customWidth="1"/>
    <col min="57" max="57" width="13.140625" bestFit="1" customWidth="1"/>
    <col min="87" max="87" width="27.42578125" customWidth="1"/>
    <col min="88" max="88" width="14.5703125" customWidth="1"/>
    <col min="94" max="94" width="24.28515625" bestFit="1" customWidth="1"/>
    <col min="95" max="95" width="10.7109375" bestFit="1" customWidth="1"/>
    <col min="96" max="96" width="6.85546875" bestFit="1" customWidth="1"/>
  </cols>
  <sheetData>
    <row r="1" spans="1:50" ht="15.75" thickBot="1" x14ac:dyDescent="0.3">
      <c r="A1" s="27" t="s">
        <v>0</v>
      </c>
      <c r="B1" s="28" t="s">
        <v>16</v>
      </c>
      <c r="C1" s="11" t="s">
        <v>23</v>
      </c>
      <c r="D1" s="30" t="s">
        <v>19</v>
      </c>
      <c r="E1" s="30" t="s">
        <v>13</v>
      </c>
      <c r="F1" s="30" t="s">
        <v>51</v>
      </c>
      <c r="G1" s="11" t="s">
        <v>18</v>
      </c>
      <c r="H1" s="11" t="s">
        <v>20</v>
      </c>
      <c r="I1" s="11" t="s">
        <v>50</v>
      </c>
      <c r="J1" s="11" t="s">
        <v>63</v>
      </c>
      <c r="K1"/>
      <c r="L1" s="32" t="s">
        <v>12</v>
      </c>
      <c r="M1" s="35">
        <f>' '!D1*310</f>
        <v>2270755.1666666665</v>
      </c>
      <c r="N1" s="6"/>
      <c r="O1" s="32" t="s">
        <v>13</v>
      </c>
      <c r="P1" s="36">
        <f>' '!D1</f>
        <v>7325.0166666666664</v>
      </c>
      <c r="AW1" s="8" t="s">
        <v>4</v>
      </c>
      <c r="AX1" s="9"/>
    </row>
    <row r="2" spans="1:50" ht="15.75" thickTop="1" x14ac:dyDescent="0.25">
      <c r="A2" s="29">
        <v>45355</v>
      </c>
      <c r="B2" s="3" t="s">
        <v>17</v>
      </c>
      <c r="C2" s="12" t="s">
        <v>25</v>
      </c>
      <c r="D2" s="7">
        <v>58</v>
      </c>
      <c r="E2" s="7">
        <v>58</v>
      </c>
      <c r="F2" s="7">
        <v>41.172413793103445</v>
      </c>
      <c r="G2" s="40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" s="12" t="str">
        <f>IF(Tabla1[[#This Row],[FILTER_1]]="CONTES","EFECTIVO","NO EFECTIVO")</f>
        <v>EFECTIVO</v>
      </c>
      <c r="I2" s="12" t="str">
        <f>LEFT(Tabla1[[#This Row],[Tipificación]],6)</f>
        <v>CONTES</v>
      </c>
      <c r="J2" s="12" t="str">
        <f>IFERROR(VLOOKUP(Tabla1[[#This Row],[Subtipología]],' '!BU:BV,2,0),"NO EFECTIVA")</f>
        <v>EFECTIVA</v>
      </c>
      <c r="K2"/>
    </row>
    <row r="3" spans="1:50" x14ac:dyDescent="0.25">
      <c r="A3" s="29">
        <v>45355</v>
      </c>
      <c r="B3" s="3" t="s">
        <v>17</v>
      </c>
      <c r="C3" s="12" t="s">
        <v>26</v>
      </c>
      <c r="D3" s="38">
        <v>31</v>
      </c>
      <c r="E3" s="7">
        <v>30</v>
      </c>
      <c r="F3" s="7">
        <v>40.258064516129032</v>
      </c>
      <c r="G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" s="44" t="str">
        <f>IF(Tabla1[[#This Row],[FILTER_1]]="CONTES","EFECTIVO","NO EFECTIVO")</f>
        <v>EFECTIVO</v>
      </c>
      <c r="I3" s="44" t="str">
        <f>LEFT(Tabla1[[#This Row],[Tipificación]],6)</f>
        <v>CONTES</v>
      </c>
      <c r="J3" s="12" t="str">
        <f>IFERROR(VLOOKUP(Tabla1[[#This Row],[Subtipología]],' '!BU:BV,2,0),"NO EFECTIVA")</f>
        <v>EFECTIVA</v>
      </c>
      <c r="K3" s="12"/>
      <c r="L3" s="1"/>
      <c r="M3" s="1"/>
      <c r="N3" s="1"/>
      <c r="O3" s="1"/>
    </row>
    <row r="4" spans="1:50" x14ac:dyDescent="0.25">
      <c r="A4" s="29">
        <v>45355</v>
      </c>
      <c r="B4" s="3" t="s">
        <v>17</v>
      </c>
      <c r="C4" s="12" t="s">
        <v>34</v>
      </c>
      <c r="D4" s="38">
        <v>939</v>
      </c>
      <c r="G4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4" s="44" t="str">
        <f>IF(Tabla1[[#This Row],[FILTER_1]]="CONTES","EFECTIVO","NO EFECTIVO")</f>
        <v>NO EFECTIVO</v>
      </c>
      <c r="I4" s="44" t="str">
        <f>LEFT(Tabla1[[#This Row],[Tipificación]],6)</f>
        <v>ERROR</v>
      </c>
      <c r="J4" s="12" t="str">
        <f>IFERROR(VLOOKUP(Tabla1[[#This Row],[Subtipología]],' '!BU:BV,2,0),"NO EFECTIVA")</f>
        <v>NO EFECTIVA</v>
      </c>
      <c r="K4" s="12"/>
    </row>
    <row r="5" spans="1:50" x14ac:dyDescent="0.25">
      <c r="A5" s="29">
        <v>45355</v>
      </c>
      <c r="B5" s="3" t="s">
        <v>17</v>
      </c>
      <c r="C5" s="12" t="s">
        <v>24</v>
      </c>
      <c r="D5" s="38">
        <v>3228</v>
      </c>
      <c r="E5" s="7">
        <v>2102</v>
      </c>
      <c r="F5" s="7">
        <v>28.291511771995044</v>
      </c>
      <c r="G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5" s="44" t="str">
        <f>IF(Tabla1[[#This Row],[FILTER_1]]="CONTES","EFECTIVO","NO EFECTIVO")</f>
        <v>EFECTIVO</v>
      </c>
      <c r="I5" s="44" t="str">
        <f>LEFT(Tabla1[[#This Row],[Tipificación]],6)</f>
        <v>CONTES</v>
      </c>
      <c r="J5" s="12" t="str">
        <f>IFERROR(VLOOKUP(Tabla1[[#This Row],[Subtipología]],' '!BU:BV,2,0),"NO EFECTIVA")</f>
        <v>NO EFECTIVA</v>
      </c>
      <c r="K5" s="12"/>
    </row>
    <row r="6" spans="1:50" x14ac:dyDescent="0.25">
      <c r="A6" s="29">
        <v>45355</v>
      </c>
      <c r="B6" s="3" t="s">
        <v>17</v>
      </c>
      <c r="C6" s="12" t="s">
        <v>27</v>
      </c>
      <c r="D6" s="38">
        <v>23</v>
      </c>
      <c r="E6" s="7">
        <v>25</v>
      </c>
      <c r="F6" s="7">
        <v>61.869565217391305</v>
      </c>
      <c r="G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6" s="44" t="str">
        <f>IF(Tabla1[[#This Row],[FILTER_1]]="CONTES","EFECTIVO","NO EFECTIVO")</f>
        <v>EFECTIVO</v>
      </c>
      <c r="I6" s="44" t="str">
        <f>LEFT(Tabla1[[#This Row],[Tipificación]],6)</f>
        <v>CONTES</v>
      </c>
      <c r="J6" s="12" t="str">
        <f>IFERROR(VLOOKUP(Tabla1[[#This Row],[Subtipología]],' '!BU:BV,2,0),"NO EFECTIVA")</f>
        <v>EFECTIVA</v>
      </c>
      <c r="K6" s="12"/>
    </row>
    <row r="7" spans="1:50" x14ac:dyDescent="0.25">
      <c r="A7" s="29">
        <v>45355</v>
      </c>
      <c r="B7" s="3" t="s">
        <v>17</v>
      </c>
      <c r="C7" s="12" t="s">
        <v>28</v>
      </c>
      <c r="D7" s="38">
        <v>125</v>
      </c>
      <c r="E7" s="7">
        <v>128</v>
      </c>
      <c r="F7" s="7">
        <v>50.207999999999998</v>
      </c>
      <c r="G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" s="44" t="str">
        <f>IF(Tabla1[[#This Row],[FILTER_1]]="CONTES","EFECTIVO","NO EFECTIVO")</f>
        <v>EFECTIVO</v>
      </c>
      <c r="I7" s="44" t="str">
        <f>LEFT(Tabla1[[#This Row],[Tipificación]],6)</f>
        <v>CONTES</v>
      </c>
      <c r="J7" s="12" t="str">
        <f>IFERROR(VLOOKUP(Tabla1[[#This Row],[Subtipología]],' '!BU:BV,2,0),"NO EFECTIVA")</f>
        <v>EFECTIVA</v>
      </c>
      <c r="K7" s="12"/>
    </row>
    <row r="8" spans="1:50" x14ac:dyDescent="0.25">
      <c r="A8" s="29">
        <v>45355</v>
      </c>
      <c r="B8" s="3" t="s">
        <v>17</v>
      </c>
      <c r="C8" s="12" t="s">
        <v>29</v>
      </c>
      <c r="D8" s="38">
        <v>87</v>
      </c>
      <c r="E8" s="7">
        <v>103</v>
      </c>
      <c r="F8" s="7">
        <v>64.229885057471265</v>
      </c>
      <c r="G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" s="44" t="str">
        <f>IF(Tabla1[[#This Row],[FILTER_1]]="CONTES","EFECTIVO","NO EFECTIVO")</f>
        <v>EFECTIVO</v>
      </c>
      <c r="I8" s="44" t="str">
        <f>LEFT(Tabla1[[#This Row],[Tipificación]],6)</f>
        <v>CONTES</v>
      </c>
      <c r="J8" s="12" t="str">
        <f>IFERROR(VLOOKUP(Tabla1[[#This Row],[Subtipología]],' '!BU:BV,2,0),"NO EFECTIVA")</f>
        <v>EFECTIVA</v>
      </c>
      <c r="K8" s="12"/>
    </row>
    <row r="9" spans="1:50" x14ac:dyDescent="0.25">
      <c r="A9" s="29">
        <v>45355</v>
      </c>
      <c r="B9" s="3" t="s">
        <v>17</v>
      </c>
      <c r="C9" s="12" t="s">
        <v>30</v>
      </c>
      <c r="D9" s="38">
        <v>35</v>
      </c>
      <c r="E9" s="7">
        <v>12</v>
      </c>
      <c r="F9" s="7">
        <v>33.200000000000003</v>
      </c>
      <c r="G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9" s="44" t="str">
        <f>IF(Tabla1[[#This Row],[FILTER_1]]="CONTES","EFECTIVO","NO EFECTIVO")</f>
        <v>EFECTIVO</v>
      </c>
      <c r="I9" s="44" t="str">
        <f>LEFT(Tabla1[[#This Row],[Tipificación]],6)</f>
        <v>CONTES</v>
      </c>
      <c r="J9" s="12" t="str">
        <f>IFERROR(VLOOKUP(Tabla1[[#This Row],[Subtipología]],' '!BU:BV,2,0),"NO EFECTIVA")</f>
        <v>EFECTIVA</v>
      </c>
      <c r="K9" s="12"/>
    </row>
    <row r="10" spans="1:50" x14ac:dyDescent="0.25">
      <c r="A10" s="29">
        <v>45355</v>
      </c>
      <c r="B10" s="3" t="s">
        <v>17</v>
      </c>
      <c r="C10" s="12" t="s">
        <v>32</v>
      </c>
      <c r="D10" s="38">
        <v>10</v>
      </c>
      <c r="E10" s="7">
        <v>12</v>
      </c>
      <c r="F10" s="7">
        <v>54.8</v>
      </c>
      <c r="G1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0" s="44" t="str">
        <f>IF(Tabla1[[#This Row],[FILTER_1]]="CONTES","EFECTIVO","NO EFECTIVO")</f>
        <v>EFECTIVO</v>
      </c>
      <c r="I10" s="44" t="str">
        <f>LEFT(Tabla1[[#This Row],[Tipificación]],6)</f>
        <v>CONTES</v>
      </c>
      <c r="J10" s="12" t="str">
        <f>IFERROR(VLOOKUP(Tabla1[[#This Row],[Subtipología]],' '!BU:BV,2,0),"NO EFECTIVA")</f>
        <v>EFECTIVA</v>
      </c>
      <c r="K10" s="12"/>
    </row>
    <row r="11" spans="1:50" x14ac:dyDescent="0.25">
      <c r="A11" s="29">
        <v>45355</v>
      </c>
      <c r="B11" s="3" t="s">
        <v>17</v>
      </c>
      <c r="C11" s="12" t="s">
        <v>31</v>
      </c>
      <c r="D11" s="38">
        <v>259</v>
      </c>
      <c r="E11" s="7">
        <v>289</v>
      </c>
      <c r="F11" s="7">
        <v>61.953667953667953</v>
      </c>
      <c r="G1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" s="44" t="str">
        <f>IF(Tabla1[[#This Row],[FILTER_1]]="CONTES","EFECTIVO","NO EFECTIVO")</f>
        <v>EFECTIVO</v>
      </c>
      <c r="I11" s="44" t="str">
        <f>LEFT(Tabla1[[#This Row],[Tipificación]],6)</f>
        <v>CONTES</v>
      </c>
      <c r="J11" s="12" t="str">
        <f>IFERROR(VLOOKUP(Tabla1[[#This Row],[Subtipología]],' '!BU:BV,2,0),"NO EFECTIVA")</f>
        <v>EFECTIVA</v>
      </c>
      <c r="K11" s="12"/>
    </row>
    <row r="12" spans="1:50" x14ac:dyDescent="0.25">
      <c r="A12" s="29">
        <v>45355</v>
      </c>
      <c r="B12" s="3" t="s">
        <v>17</v>
      </c>
      <c r="C12" s="12" t="s">
        <v>33</v>
      </c>
      <c r="D12" s="38">
        <v>225</v>
      </c>
      <c r="E12" s="7">
        <v>205</v>
      </c>
      <c r="F12" s="7">
        <v>48.64</v>
      </c>
      <c r="G1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2" s="44" t="str">
        <f>IF(Tabla1[[#This Row],[FILTER_1]]="CONTES","EFECTIVO","NO EFECTIVO")</f>
        <v>EFECTIVO</v>
      </c>
      <c r="I12" s="44" t="str">
        <f>LEFT(Tabla1[[#This Row],[Tipificación]],6)</f>
        <v>CONTES</v>
      </c>
      <c r="J12" s="12" t="str">
        <f>IFERROR(VLOOKUP(Tabla1[[#This Row],[Subtipología]],' '!BU:BV,2,0),"NO EFECTIVA")</f>
        <v>EFECTIVA</v>
      </c>
      <c r="K12" s="12"/>
    </row>
    <row r="13" spans="1:50" x14ac:dyDescent="0.25">
      <c r="A13" s="29">
        <v>45356</v>
      </c>
      <c r="B13" s="3" t="s">
        <v>17</v>
      </c>
      <c r="C13" s="12" t="s">
        <v>25</v>
      </c>
      <c r="D13" s="38">
        <v>183</v>
      </c>
      <c r="E13" s="7">
        <v>180</v>
      </c>
      <c r="F13" s="7">
        <v>41.617486338797811</v>
      </c>
      <c r="G1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" s="44" t="str">
        <f>IF(Tabla1[[#This Row],[FILTER_1]]="CONTES","EFECTIVO","NO EFECTIVO")</f>
        <v>EFECTIVO</v>
      </c>
      <c r="I13" s="44" t="str">
        <f>LEFT(Tabla1[[#This Row],[Tipificación]],6)</f>
        <v>CONTES</v>
      </c>
      <c r="J13" s="12" t="str">
        <f>IFERROR(VLOOKUP(Tabla1[[#This Row],[Subtipología]],' '!BU:BV,2,0),"NO EFECTIVA")</f>
        <v>EFECTIVA</v>
      </c>
      <c r="K13" s="12"/>
    </row>
    <row r="14" spans="1:50" x14ac:dyDescent="0.25">
      <c r="A14" s="29">
        <v>45356</v>
      </c>
      <c r="B14" s="3" t="s">
        <v>17</v>
      </c>
      <c r="C14" s="12" t="s">
        <v>26</v>
      </c>
      <c r="D14" s="38">
        <v>97</v>
      </c>
      <c r="E14" s="7">
        <v>85</v>
      </c>
      <c r="F14" s="7">
        <v>38.845360824742265</v>
      </c>
      <c r="G1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" s="44" t="str">
        <f>IF(Tabla1[[#This Row],[FILTER_1]]="CONTES","EFECTIVO","NO EFECTIVO")</f>
        <v>EFECTIVO</v>
      </c>
      <c r="I14" s="44" t="str">
        <f>LEFT(Tabla1[[#This Row],[Tipificación]],6)</f>
        <v>CONTES</v>
      </c>
      <c r="J14" s="12" t="str">
        <f>IFERROR(VLOOKUP(Tabla1[[#This Row],[Subtipología]],' '!BU:BV,2,0),"NO EFECTIVA")</f>
        <v>EFECTIVA</v>
      </c>
      <c r="K14" s="12"/>
    </row>
    <row r="15" spans="1:50" x14ac:dyDescent="0.25">
      <c r="A15" s="29">
        <v>45356</v>
      </c>
      <c r="B15" s="3" t="s">
        <v>17</v>
      </c>
      <c r="C15" s="12" t="s">
        <v>34</v>
      </c>
      <c r="D15" s="38">
        <v>259</v>
      </c>
      <c r="G15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5" s="44" t="str">
        <f>IF(Tabla1[[#This Row],[FILTER_1]]="CONTES","EFECTIVO","NO EFECTIVO")</f>
        <v>NO EFECTIVO</v>
      </c>
      <c r="I15" s="44" t="str">
        <f>LEFT(Tabla1[[#This Row],[Tipificación]],6)</f>
        <v>ERROR</v>
      </c>
      <c r="J15" s="12" t="str">
        <f>IFERROR(VLOOKUP(Tabla1[[#This Row],[Subtipología]],' '!BU:BV,2,0),"NO EFECTIVA")</f>
        <v>NO EFECTIVA</v>
      </c>
      <c r="K15" s="12"/>
    </row>
    <row r="16" spans="1:50" x14ac:dyDescent="0.25">
      <c r="A16" s="29">
        <v>45356</v>
      </c>
      <c r="B16" s="3" t="s">
        <v>17</v>
      </c>
      <c r="C16" s="12" t="s">
        <v>24</v>
      </c>
      <c r="D16" s="38">
        <v>8821</v>
      </c>
      <c r="E16" s="7">
        <v>5115</v>
      </c>
      <c r="F16" s="7">
        <v>26.805464233080151</v>
      </c>
      <c r="G1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6" s="44" t="str">
        <f>IF(Tabla1[[#This Row],[FILTER_1]]="CONTES","EFECTIVO","NO EFECTIVO")</f>
        <v>EFECTIVO</v>
      </c>
      <c r="I16" s="44" t="str">
        <f>LEFT(Tabla1[[#This Row],[Tipificación]],6)</f>
        <v>CONTES</v>
      </c>
      <c r="J16" s="12" t="str">
        <f>IFERROR(VLOOKUP(Tabla1[[#This Row],[Subtipología]],' '!BU:BV,2,0),"NO EFECTIVA")</f>
        <v>NO EFECTIVA</v>
      </c>
      <c r="K16" s="12"/>
    </row>
    <row r="17" spans="1:11" x14ac:dyDescent="0.25">
      <c r="A17" s="29">
        <v>45356</v>
      </c>
      <c r="B17" s="3" t="s">
        <v>17</v>
      </c>
      <c r="C17" s="12" t="s">
        <v>27</v>
      </c>
      <c r="D17" s="38">
        <v>59</v>
      </c>
      <c r="E17" s="7">
        <v>63</v>
      </c>
      <c r="F17" s="7">
        <v>60.932203389830505</v>
      </c>
      <c r="G1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7" s="44" t="str">
        <f>IF(Tabla1[[#This Row],[FILTER_1]]="CONTES","EFECTIVO","NO EFECTIVO")</f>
        <v>EFECTIVO</v>
      </c>
      <c r="I17" s="44" t="str">
        <f>LEFT(Tabla1[[#This Row],[Tipificación]],6)</f>
        <v>CONTES</v>
      </c>
      <c r="J17" s="12" t="str">
        <f>IFERROR(VLOOKUP(Tabla1[[#This Row],[Subtipología]],' '!BU:BV,2,0),"NO EFECTIVA")</f>
        <v>EFECTIVA</v>
      </c>
      <c r="K17" s="12"/>
    </row>
    <row r="18" spans="1:11" x14ac:dyDescent="0.25">
      <c r="A18" s="29">
        <v>45356</v>
      </c>
      <c r="B18" s="3" t="s">
        <v>17</v>
      </c>
      <c r="C18" s="12" t="s">
        <v>28</v>
      </c>
      <c r="D18" s="38">
        <v>473</v>
      </c>
      <c r="E18" s="7">
        <v>488</v>
      </c>
      <c r="F18" s="7">
        <v>50.610993657505283</v>
      </c>
      <c r="G1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8" s="44" t="str">
        <f>IF(Tabla1[[#This Row],[FILTER_1]]="CONTES","EFECTIVO","NO EFECTIVO")</f>
        <v>EFECTIVO</v>
      </c>
      <c r="I18" s="44" t="str">
        <f>LEFT(Tabla1[[#This Row],[Tipificación]],6)</f>
        <v>CONTES</v>
      </c>
      <c r="J18" s="12" t="str">
        <f>IFERROR(VLOOKUP(Tabla1[[#This Row],[Subtipología]],' '!BU:BV,2,0),"NO EFECTIVA")</f>
        <v>EFECTIVA</v>
      </c>
      <c r="K18" s="12"/>
    </row>
    <row r="19" spans="1:11" x14ac:dyDescent="0.25">
      <c r="A19" s="29">
        <v>45356</v>
      </c>
      <c r="B19" s="3" t="s">
        <v>17</v>
      </c>
      <c r="C19" s="12" t="s">
        <v>29</v>
      </c>
      <c r="D19" s="38">
        <v>270</v>
      </c>
      <c r="E19" s="7">
        <v>302</v>
      </c>
      <c r="F19" s="7">
        <v>62.055555555555557</v>
      </c>
      <c r="G1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9" s="44" t="str">
        <f>IF(Tabla1[[#This Row],[FILTER_1]]="CONTES","EFECTIVO","NO EFECTIVO")</f>
        <v>EFECTIVO</v>
      </c>
      <c r="I19" s="44" t="str">
        <f>LEFT(Tabla1[[#This Row],[Tipificación]],6)</f>
        <v>CONTES</v>
      </c>
      <c r="J19" s="12" t="str">
        <f>IFERROR(VLOOKUP(Tabla1[[#This Row],[Subtipología]],' '!BU:BV,2,0),"NO EFECTIVA")</f>
        <v>EFECTIVA</v>
      </c>
      <c r="K19" s="12"/>
    </row>
    <row r="20" spans="1:11" x14ac:dyDescent="0.25">
      <c r="A20" s="29">
        <v>45356</v>
      </c>
      <c r="B20" s="3" t="s">
        <v>17</v>
      </c>
      <c r="C20" s="12" t="s">
        <v>30</v>
      </c>
      <c r="D20" s="38">
        <v>127</v>
      </c>
      <c r="E20" s="7">
        <v>72</v>
      </c>
      <c r="F20" s="7">
        <v>36.488188976377955</v>
      </c>
      <c r="G2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0" s="44" t="str">
        <f>IF(Tabla1[[#This Row],[FILTER_1]]="CONTES","EFECTIVO","NO EFECTIVO")</f>
        <v>EFECTIVO</v>
      </c>
      <c r="I20" s="44" t="str">
        <f>LEFT(Tabla1[[#This Row],[Tipificación]],6)</f>
        <v>CONTES</v>
      </c>
      <c r="J20" s="12" t="str">
        <f>IFERROR(VLOOKUP(Tabla1[[#This Row],[Subtipología]],' '!BU:BV,2,0),"NO EFECTIVA")</f>
        <v>EFECTIVA</v>
      </c>
      <c r="K20" s="12"/>
    </row>
    <row r="21" spans="1:11" x14ac:dyDescent="0.25">
      <c r="A21" s="29">
        <v>45356</v>
      </c>
      <c r="B21" s="3" t="s">
        <v>17</v>
      </c>
      <c r="C21" s="12" t="s">
        <v>32</v>
      </c>
      <c r="D21" s="38">
        <v>34</v>
      </c>
      <c r="E21" s="7">
        <v>31</v>
      </c>
      <c r="F21" s="7">
        <v>49.617647058823529</v>
      </c>
      <c r="G2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1" s="44" t="str">
        <f>IF(Tabla1[[#This Row],[FILTER_1]]="CONTES","EFECTIVO","NO EFECTIVO")</f>
        <v>EFECTIVO</v>
      </c>
      <c r="I21" s="44" t="str">
        <f>LEFT(Tabla1[[#This Row],[Tipificación]],6)</f>
        <v>CONTES</v>
      </c>
      <c r="J21" s="12" t="str">
        <f>IFERROR(VLOOKUP(Tabla1[[#This Row],[Subtipología]],' '!BU:BV,2,0),"NO EFECTIVA")</f>
        <v>EFECTIVA</v>
      </c>
      <c r="K21" s="12"/>
    </row>
    <row r="22" spans="1:11" x14ac:dyDescent="0.25">
      <c r="A22" s="29">
        <v>45356</v>
      </c>
      <c r="B22" s="3" t="s">
        <v>17</v>
      </c>
      <c r="C22" s="12" t="s">
        <v>31</v>
      </c>
      <c r="D22" s="38">
        <v>546</v>
      </c>
      <c r="E22" s="7">
        <v>607</v>
      </c>
      <c r="F22" s="7">
        <v>61.641025641025642</v>
      </c>
      <c r="G2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2" s="44" t="str">
        <f>IF(Tabla1[[#This Row],[FILTER_1]]="CONTES","EFECTIVO","NO EFECTIVO")</f>
        <v>EFECTIVO</v>
      </c>
      <c r="I22" s="44" t="str">
        <f>LEFT(Tabla1[[#This Row],[Tipificación]],6)</f>
        <v>CONTES</v>
      </c>
      <c r="J22" s="12" t="str">
        <f>IFERROR(VLOOKUP(Tabla1[[#This Row],[Subtipología]],' '!BU:BV,2,0),"NO EFECTIVA")</f>
        <v>EFECTIVA</v>
      </c>
      <c r="K22" s="12"/>
    </row>
    <row r="23" spans="1:11" x14ac:dyDescent="0.25">
      <c r="A23" s="29">
        <v>45356</v>
      </c>
      <c r="B23" s="3" t="s">
        <v>17</v>
      </c>
      <c r="C23" s="12" t="s">
        <v>33</v>
      </c>
      <c r="D23" s="38">
        <v>741</v>
      </c>
      <c r="E23" s="7">
        <v>674</v>
      </c>
      <c r="F23" s="7">
        <v>47.356275303643727</v>
      </c>
      <c r="G2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3" s="44" t="str">
        <f>IF(Tabla1[[#This Row],[FILTER_1]]="CONTES","EFECTIVO","NO EFECTIVO")</f>
        <v>EFECTIVO</v>
      </c>
      <c r="I23" s="44" t="str">
        <f>LEFT(Tabla1[[#This Row],[Tipificación]],6)</f>
        <v>CONTES</v>
      </c>
      <c r="J23" s="12" t="str">
        <f>IFERROR(VLOOKUP(Tabla1[[#This Row],[Subtipología]],' '!BU:BV,2,0),"NO EFECTIVA")</f>
        <v>EFECTIVA</v>
      </c>
      <c r="K23" s="12"/>
    </row>
    <row r="24" spans="1:11" x14ac:dyDescent="0.25">
      <c r="A24" s="29">
        <v>45357</v>
      </c>
      <c r="B24" s="3" t="s">
        <v>17</v>
      </c>
      <c r="C24" s="12" t="s">
        <v>25</v>
      </c>
      <c r="D24" s="38">
        <v>321</v>
      </c>
      <c r="E24" s="7">
        <v>314</v>
      </c>
      <c r="F24" s="7">
        <v>40.791277258566979</v>
      </c>
      <c r="G2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4" s="44" t="str">
        <f>IF(Tabla1[[#This Row],[FILTER_1]]="CONTES","EFECTIVO","NO EFECTIVO")</f>
        <v>EFECTIVO</v>
      </c>
      <c r="I24" s="44" t="str">
        <f>LEFT(Tabla1[[#This Row],[Tipificación]],6)</f>
        <v>CONTES</v>
      </c>
      <c r="J24" s="12" t="str">
        <f>IFERROR(VLOOKUP(Tabla1[[#This Row],[Subtipología]],' '!BU:BV,2,0),"NO EFECTIVA")</f>
        <v>EFECTIVA</v>
      </c>
      <c r="K24" s="12"/>
    </row>
    <row r="25" spans="1:11" x14ac:dyDescent="0.25">
      <c r="A25" s="29">
        <v>45357</v>
      </c>
      <c r="B25" s="3" t="s">
        <v>17</v>
      </c>
      <c r="C25" s="12" t="s">
        <v>26</v>
      </c>
      <c r="D25" s="38">
        <v>448</v>
      </c>
      <c r="E25" s="7">
        <v>379</v>
      </c>
      <c r="F25" s="7">
        <v>37.486607142857146</v>
      </c>
      <c r="G2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5" s="44" t="str">
        <f>IF(Tabla1[[#This Row],[FILTER_1]]="CONTES","EFECTIVO","NO EFECTIVO")</f>
        <v>EFECTIVO</v>
      </c>
      <c r="I25" s="44" t="str">
        <f>LEFT(Tabla1[[#This Row],[Tipificación]],6)</f>
        <v>CONTES</v>
      </c>
      <c r="J25" s="12" t="str">
        <f>IFERROR(VLOOKUP(Tabla1[[#This Row],[Subtipología]],' '!BU:BV,2,0),"NO EFECTIVA")</f>
        <v>EFECTIVA</v>
      </c>
      <c r="K25" s="12"/>
    </row>
    <row r="26" spans="1:11" x14ac:dyDescent="0.25">
      <c r="A26" s="29">
        <v>45357</v>
      </c>
      <c r="B26" s="3" t="s">
        <v>17</v>
      </c>
      <c r="C26" s="12" t="s">
        <v>24</v>
      </c>
      <c r="D26" s="38">
        <v>12808</v>
      </c>
      <c r="E26" s="7">
        <v>6926</v>
      </c>
      <c r="F26" s="7">
        <v>25.974937539038102</v>
      </c>
      <c r="G2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26" s="44" t="str">
        <f>IF(Tabla1[[#This Row],[FILTER_1]]="CONTES","EFECTIVO","NO EFECTIVO")</f>
        <v>EFECTIVO</v>
      </c>
      <c r="I26" s="44" t="str">
        <f>LEFT(Tabla1[[#This Row],[Tipificación]],6)</f>
        <v>CONTES</v>
      </c>
      <c r="J26" s="12" t="str">
        <f>IFERROR(VLOOKUP(Tabla1[[#This Row],[Subtipología]],' '!BU:BV,2,0),"NO EFECTIVA")</f>
        <v>NO EFECTIVA</v>
      </c>
      <c r="K26" s="12"/>
    </row>
    <row r="27" spans="1:11" x14ac:dyDescent="0.25">
      <c r="A27" s="29">
        <v>45357</v>
      </c>
      <c r="B27" s="3" t="s">
        <v>17</v>
      </c>
      <c r="C27" s="12" t="s">
        <v>27</v>
      </c>
      <c r="D27" s="38">
        <v>52</v>
      </c>
      <c r="E27" s="7">
        <v>61</v>
      </c>
      <c r="F27" s="7">
        <v>63.82692307692308</v>
      </c>
      <c r="G2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7" s="44" t="str">
        <f>IF(Tabla1[[#This Row],[FILTER_1]]="CONTES","EFECTIVO","NO EFECTIVO")</f>
        <v>EFECTIVO</v>
      </c>
      <c r="I27" s="44" t="str">
        <f>LEFT(Tabla1[[#This Row],[Tipificación]],6)</f>
        <v>CONTES</v>
      </c>
      <c r="J27" s="12" t="str">
        <f>IFERROR(VLOOKUP(Tabla1[[#This Row],[Subtipología]],' '!BU:BV,2,0),"NO EFECTIVA")</f>
        <v>EFECTIVA</v>
      </c>
      <c r="K27" s="12"/>
    </row>
    <row r="28" spans="1:11" x14ac:dyDescent="0.25">
      <c r="A28" s="29">
        <v>45357</v>
      </c>
      <c r="B28" s="3" t="s">
        <v>17</v>
      </c>
      <c r="C28" s="12" t="s">
        <v>28</v>
      </c>
      <c r="D28" s="38">
        <v>117</v>
      </c>
      <c r="E28" s="7">
        <v>119</v>
      </c>
      <c r="F28" s="7">
        <v>50.897435897435898</v>
      </c>
      <c r="G2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8" s="44" t="str">
        <f>IF(Tabla1[[#This Row],[FILTER_1]]="CONTES","EFECTIVO","NO EFECTIVO")</f>
        <v>EFECTIVO</v>
      </c>
      <c r="I28" s="44" t="str">
        <f>LEFT(Tabla1[[#This Row],[Tipificación]],6)</f>
        <v>CONTES</v>
      </c>
      <c r="J28" s="12" t="str">
        <f>IFERROR(VLOOKUP(Tabla1[[#This Row],[Subtipología]],' '!BU:BV,2,0),"NO EFECTIVA")</f>
        <v>EFECTIVA</v>
      </c>
      <c r="K28" s="12"/>
    </row>
    <row r="29" spans="1:11" x14ac:dyDescent="0.25">
      <c r="A29" s="29">
        <v>45357</v>
      </c>
      <c r="B29" s="3" t="s">
        <v>17</v>
      </c>
      <c r="C29" s="12" t="s">
        <v>29</v>
      </c>
      <c r="D29" s="38">
        <v>643</v>
      </c>
      <c r="E29" s="7">
        <v>718</v>
      </c>
      <c r="F29" s="7">
        <v>60.99688958009331</v>
      </c>
      <c r="G2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9" s="44" t="str">
        <f>IF(Tabla1[[#This Row],[FILTER_1]]="CONTES","EFECTIVO","NO EFECTIVO")</f>
        <v>EFECTIVO</v>
      </c>
      <c r="I29" s="44" t="str">
        <f>LEFT(Tabla1[[#This Row],[Tipificación]],6)</f>
        <v>CONTES</v>
      </c>
      <c r="J29" s="12" t="str">
        <f>IFERROR(VLOOKUP(Tabla1[[#This Row],[Subtipología]],' '!BU:BV,2,0),"NO EFECTIVA")</f>
        <v>EFECTIVA</v>
      </c>
      <c r="K29" s="12"/>
    </row>
    <row r="30" spans="1:11" x14ac:dyDescent="0.25">
      <c r="A30" s="29">
        <v>45357</v>
      </c>
      <c r="B30" s="3" t="s">
        <v>17</v>
      </c>
      <c r="C30" s="12" t="s">
        <v>30</v>
      </c>
      <c r="D30" s="38">
        <v>311</v>
      </c>
      <c r="E30" s="7">
        <v>169</v>
      </c>
      <c r="F30" s="7">
        <v>35.668810289389064</v>
      </c>
      <c r="G3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30" s="44" t="str">
        <f>IF(Tabla1[[#This Row],[FILTER_1]]="CONTES","EFECTIVO","NO EFECTIVO")</f>
        <v>EFECTIVO</v>
      </c>
      <c r="I30" s="44" t="str">
        <f>LEFT(Tabla1[[#This Row],[Tipificación]],6)</f>
        <v>CONTES</v>
      </c>
      <c r="J30" s="12" t="str">
        <f>IFERROR(VLOOKUP(Tabla1[[#This Row],[Subtipología]],' '!BU:BV,2,0),"NO EFECTIVA")</f>
        <v>EFECTIVA</v>
      </c>
      <c r="K30" s="12"/>
    </row>
    <row r="31" spans="1:11" x14ac:dyDescent="0.25">
      <c r="A31" s="29">
        <v>45357</v>
      </c>
      <c r="B31" s="3" t="s">
        <v>17</v>
      </c>
      <c r="C31" s="12" t="s">
        <v>32</v>
      </c>
      <c r="D31" s="38">
        <v>26</v>
      </c>
      <c r="E31" s="7">
        <v>22</v>
      </c>
      <c r="F31" s="7">
        <v>48.692307692307693</v>
      </c>
      <c r="G3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31" s="44" t="str">
        <f>IF(Tabla1[[#This Row],[FILTER_1]]="CONTES","EFECTIVO","NO EFECTIVO")</f>
        <v>EFECTIVO</v>
      </c>
      <c r="I31" s="44" t="str">
        <f>LEFT(Tabla1[[#This Row],[Tipificación]],6)</f>
        <v>CONTES</v>
      </c>
      <c r="J31" s="12" t="str">
        <f>IFERROR(VLOOKUP(Tabla1[[#This Row],[Subtipología]],' '!BU:BV,2,0),"NO EFECTIVA")</f>
        <v>EFECTIVA</v>
      </c>
      <c r="K31" s="12"/>
    </row>
    <row r="32" spans="1:11" x14ac:dyDescent="0.25">
      <c r="A32" s="29">
        <v>45357</v>
      </c>
      <c r="B32" s="3" t="s">
        <v>17</v>
      </c>
      <c r="C32" s="12" t="s">
        <v>31</v>
      </c>
      <c r="D32" s="38">
        <v>275</v>
      </c>
      <c r="E32" s="7">
        <v>312</v>
      </c>
      <c r="F32" s="7">
        <v>62.716363636363639</v>
      </c>
      <c r="G3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2" s="44" t="str">
        <f>IF(Tabla1[[#This Row],[FILTER_1]]="CONTES","EFECTIVO","NO EFECTIVO")</f>
        <v>EFECTIVO</v>
      </c>
      <c r="I32" s="44" t="str">
        <f>LEFT(Tabla1[[#This Row],[Tipificación]],6)</f>
        <v>CONTES</v>
      </c>
      <c r="J32" s="12" t="str">
        <f>IFERROR(VLOOKUP(Tabla1[[#This Row],[Subtipología]],' '!BU:BV,2,0),"NO EFECTIVA")</f>
        <v>EFECTIVA</v>
      </c>
      <c r="K32" s="12"/>
    </row>
    <row r="33" spans="1:11" x14ac:dyDescent="0.25">
      <c r="A33" s="29">
        <v>45357</v>
      </c>
      <c r="B33" s="3" t="s">
        <v>17</v>
      </c>
      <c r="C33" s="12" t="s">
        <v>33</v>
      </c>
      <c r="D33" s="38">
        <v>753</v>
      </c>
      <c r="E33" s="7">
        <v>682</v>
      </c>
      <c r="F33" s="7">
        <v>47.247011952191237</v>
      </c>
      <c r="G3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33" s="44" t="str">
        <f>IF(Tabla1[[#This Row],[FILTER_1]]="CONTES","EFECTIVO","NO EFECTIVO")</f>
        <v>EFECTIVO</v>
      </c>
      <c r="I33" s="44" t="str">
        <f>LEFT(Tabla1[[#This Row],[Tipificación]],6)</f>
        <v>CONTES</v>
      </c>
      <c r="J33" s="12" t="str">
        <f>IFERROR(VLOOKUP(Tabla1[[#This Row],[Subtipología]],' '!BU:BV,2,0),"NO EFECTIVA")</f>
        <v>EFECTIVA</v>
      </c>
      <c r="K33" s="12"/>
    </row>
    <row r="34" spans="1:11" x14ac:dyDescent="0.25">
      <c r="A34" s="29">
        <v>45358</v>
      </c>
      <c r="B34" s="3" t="s">
        <v>17</v>
      </c>
      <c r="C34" s="12" t="s">
        <v>25</v>
      </c>
      <c r="D34" s="38">
        <v>110</v>
      </c>
      <c r="E34" s="7">
        <v>110</v>
      </c>
      <c r="F34" s="7">
        <v>40.881818181818183</v>
      </c>
      <c r="G3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4" s="44" t="str">
        <f>IF(Tabla1[[#This Row],[FILTER_1]]="CONTES","EFECTIVO","NO EFECTIVO")</f>
        <v>EFECTIVO</v>
      </c>
      <c r="I34" s="44" t="str">
        <f>LEFT(Tabla1[[#This Row],[Tipificación]],6)</f>
        <v>CONTES</v>
      </c>
      <c r="J34" s="12" t="str">
        <f>IFERROR(VLOOKUP(Tabla1[[#This Row],[Subtipología]],' '!BU:BV,2,0),"NO EFECTIVA")</f>
        <v>EFECTIVA</v>
      </c>
      <c r="K34" s="12"/>
    </row>
    <row r="35" spans="1:11" x14ac:dyDescent="0.25">
      <c r="A35" s="29">
        <v>45358</v>
      </c>
      <c r="B35" s="3" t="s">
        <v>17</v>
      </c>
      <c r="C35" s="12" t="s">
        <v>26</v>
      </c>
      <c r="D35" s="38">
        <v>162</v>
      </c>
      <c r="E35" s="7">
        <v>146</v>
      </c>
      <c r="F35" s="7">
        <v>37.993827160493829</v>
      </c>
      <c r="G3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5" s="44" t="str">
        <f>IF(Tabla1[[#This Row],[FILTER_1]]="CONTES","EFECTIVO","NO EFECTIVO")</f>
        <v>EFECTIVO</v>
      </c>
      <c r="I35" s="44" t="str">
        <f>LEFT(Tabla1[[#This Row],[Tipificación]],6)</f>
        <v>CONTES</v>
      </c>
      <c r="J35" s="12" t="str">
        <f>IFERROR(VLOOKUP(Tabla1[[#This Row],[Subtipología]],' '!BU:BV,2,0),"NO EFECTIVA")</f>
        <v>EFECTIVA</v>
      </c>
      <c r="K35" s="12"/>
    </row>
    <row r="36" spans="1:11" x14ac:dyDescent="0.25">
      <c r="A36" s="29">
        <v>45358</v>
      </c>
      <c r="B36" s="3" t="s">
        <v>17</v>
      </c>
      <c r="C36" s="12" t="s">
        <v>24</v>
      </c>
      <c r="D36" s="38">
        <v>33622</v>
      </c>
      <c r="E36" s="7">
        <v>24762</v>
      </c>
      <c r="F36" s="7">
        <v>27.997918029861399</v>
      </c>
      <c r="G3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36" s="44" t="str">
        <f>IF(Tabla1[[#This Row],[FILTER_1]]="CONTES","EFECTIVO","NO EFECTIVO")</f>
        <v>EFECTIVO</v>
      </c>
      <c r="I36" s="44" t="str">
        <f>LEFT(Tabla1[[#This Row],[Tipificación]],6)</f>
        <v>CONTES</v>
      </c>
      <c r="J36" s="12" t="str">
        <f>IFERROR(VLOOKUP(Tabla1[[#This Row],[Subtipología]],' '!BU:BV,2,0),"NO EFECTIVA")</f>
        <v>NO EFECTIVA</v>
      </c>
      <c r="K36" s="12"/>
    </row>
    <row r="37" spans="1:11" x14ac:dyDescent="0.25">
      <c r="A37" s="29">
        <v>45358</v>
      </c>
      <c r="B37" s="3" t="s">
        <v>17</v>
      </c>
      <c r="C37" s="12" t="s">
        <v>27</v>
      </c>
      <c r="D37" s="38">
        <v>31</v>
      </c>
      <c r="E37" s="7">
        <v>36</v>
      </c>
      <c r="F37" s="7">
        <v>61.516129032258064</v>
      </c>
      <c r="G3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7" s="44" t="str">
        <f>IF(Tabla1[[#This Row],[FILTER_1]]="CONTES","EFECTIVO","NO EFECTIVO")</f>
        <v>EFECTIVO</v>
      </c>
      <c r="I37" s="44" t="str">
        <f>LEFT(Tabla1[[#This Row],[Tipificación]],6)</f>
        <v>CONTES</v>
      </c>
      <c r="J37" s="12" t="str">
        <f>IFERROR(VLOOKUP(Tabla1[[#This Row],[Subtipología]],' '!BU:BV,2,0),"NO EFECTIVA")</f>
        <v>EFECTIVA</v>
      </c>
      <c r="K37" s="12"/>
    </row>
    <row r="38" spans="1:11" x14ac:dyDescent="0.25">
      <c r="A38" s="29">
        <v>45358</v>
      </c>
      <c r="B38" s="3" t="s">
        <v>17</v>
      </c>
      <c r="C38" s="12" t="s">
        <v>28</v>
      </c>
      <c r="D38" s="38">
        <v>21</v>
      </c>
      <c r="E38" s="7">
        <v>21</v>
      </c>
      <c r="F38" s="7">
        <v>48.952380952380949</v>
      </c>
      <c r="G3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8" s="44" t="str">
        <f>IF(Tabla1[[#This Row],[FILTER_1]]="CONTES","EFECTIVO","NO EFECTIVO")</f>
        <v>EFECTIVO</v>
      </c>
      <c r="I38" s="44" t="str">
        <f>LEFT(Tabla1[[#This Row],[Tipificación]],6)</f>
        <v>CONTES</v>
      </c>
      <c r="J38" s="12" t="str">
        <f>IFERROR(VLOOKUP(Tabla1[[#This Row],[Subtipología]],' '!BU:BV,2,0),"NO EFECTIVA")</f>
        <v>EFECTIVA</v>
      </c>
      <c r="K38" s="12"/>
    </row>
    <row r="39" spans="1:11" x14ac:dyDescent="0.25">
      <c r="A39" s="29">
        <v>45358</v>
      </c>
      <c r="B39" s="3" t="s">
        <v>17</v>
      </c>
      <c r="C39" s="12" t="s">
        <v>29</v>
      </c>
      <c r="D39" s="38">
        <v>203</v>
      </c>
      <c r="E39" s="7">
        <v>228</v>
      </c>
      <c r="F39" s="7">
        <v>61.556650246305416</v>
      </c>
      <c r="G3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39" s="44" t="str">
        <f>IF(Tabla1[[#This Row],[FILTER_1]]="CONTES","EFECTIVO","NO EFECTIVO")</f>
        <v>EFECTIVO</v>
      </c>
      <c r="I39" s="44" t="str">
        <f>LEFT(Tabla1[[#This Row],[Tipificación]],6)</f>
        <v>CONTES</v>
      </c>
      <c r="J39" s="12" t="str">
        <f>IFERROR(VLOOKUP(Tabla1[[#This Row],[Subtipología]],' '!BU:BV,2,0),"NO EFECTIVA")</f>
        <v>EFECTIVA</v>
      </c>
      <c r="K39" s="12"/>
    </row>
    <row r="40" spans="1:11" x14ac:dyDescent="0.25">
      <c r="A40" s="29">
        <v>45358</v>
      </c>
      <c r="B40" s="3" t="s">
        <v>17</v>
      </c>
      <c r="C40" s="12" t="s">
        <v>30</v>
      </c>
      <c r="D40" s="38">
        <v>124</v>
      </c>
      <c r="E40" s="7">
        <v>84</v>
      </c>
      <c r="F40" s="7">
        <v>38.774193548387096</v>
      </c>
      <c r="G4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40" s="44" t="str">
        <f>IF(Tabla1[[#This Row],[FILTER_1]]="CONTES","EFECTIVO","NO EFECTIVO")</f>
        <v>EFECTIVO</v>
      </c>
      <c r="I40" s="44" t="str">
        <f>LEFT(Tabla1[[#This Row],[Tipificación]],6)</f>
        <v>CONTES</v>
      </c>
      <c r="J40" s="12" t="str">
        <f>IFERROR(VLOOKUP(Tabla1[[#This Row],[Subtipología]],' '!BU:BV,2,0),"NO EFECTIVA")</f>
        <v>EFECTIVA</v>
      </c>
      <c r="K40" s="12"/>
    </row>
    <row r="41" spans="1:11" x14ac:dyDescent="0.25">
      <c r="A41" s="29">
        <v>45358</v>
      </c>
      <c r="B41" s="3" t="s">
        <v>17</v>
      </c>
      <c r="C41" s="12" t="s">
        <v>32</v>
      </c>
      <c r="D41" s="38">
        <v>16</v>
      </c>
      <c r="E41" s="7">
        <v>15</v>
      </c>
      <c r="F41" s="7">
        <v>54.6875</v>
      </c>
      <c r="G4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41" s="44" t="str">
        <f>IF(Tabla1[[#This Row],[FILTER_1]]="CONTES","EFECTIVO","NO EFECTIVO")</f>
        <v>EFECTIVO</v>
      </c>
      <c r="I41" s="44" t="str">
        <f>LEFT(Tabla1[[#This Row],[Tipificación]],6)</f>
        <v>CONTES</v>
      </c>
      <c r="J41" s="12" t="str">
        <f>IFERROR(VLOOKUP(Tabla1[[#This Row],[Subtipología]],' '!BU:BV,2,0),"NO EFECTIVA")</f>
        <v>EFECTIVA</v>
      </c>
      <c r="K41" s="12"/>
    </row>
    <row r="42" spans="1:11" x14ac:dyDescent="0.25">
      <c r="A42" s="29">
        <v>45358</v>
      </c>
      <c r="B42" s="3" t="s">
        <v>17</v>
      </c>
      <c r="C42" s="12" t="s">
        <v>31</v>
      </c>
      <c r="D42" s="38">
        <v>113</v>
      </c>
      <c r="E42" s="7">
        <v>127</v>
      </c>
      <c r="F42" s="7">
        <v>61.849557522123895</v>
      </c>
      <c r="G4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42" s="44" t="str">
        <f>IF(Tabla1[[#This Row],[FILTER_1]]="CONTES","EFECTIVO","NO EFECTIVO")</f>
        <v>EFECTIVO</v>
      </c>
      <c r="I42" s="44" t="str">
        <f>LEFT(Tabla1[[#This Row],[Tipificación]],6)</f>
        <v>CONTES</v>
      </c>
      <c r="J42" s="12" t="str">
        <f>IFERROR(VLOOKUP(Tabla1[[#This Row],[Subtipología]],' '!BU:BV,2,0),"NO EFECTIVA")</f>
        <v>EFECTIVA</v>
      </c>
      <c r="K42" s="12"/>
    </row>
    <row r="43" spans="1:11" x14ac:dyDescent="0.25">
      <c r="A43" s="29">
        <v>45358</v>
      </c>
      <c r="B43" s="3" t="s">
        <v>17</v>
      </c>
      <c r="C43" s="12" t="s">
        <v>33</v>
      </c>
      <c r="D43" s="38">
        <v>288</v>
      </c>
      <c r="E43" s="7">
        <v>295</v>
      </c>
      <c r="F43" s="7">
        <v>50.829861111111114</v>
      </c>
      <c r="G4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43" s="44" t="str">
        <f>IF(Tabla1[[#This Row],[FILTER_1]]="CONTES","EFECTIVO","NO EFECTIVO")</f>
        <v>EFECTIVO</v>
      </c>
      <c r="I43" s="44" t="str">
        <f>LEFT(Tabla1[[#This Row],[Tipificación]],6)</f>
        <v>CONTES</v>
      </c>
      <c r="J43" s="12" t="str">
        <f>IFERROR(VLOOKUP(Tabla1[[#This Row],[Subtipología]],' '!BU:BV,2,0),"NO EFECTIVA")</f>
        <v>EFECTIVA</v>
      </c>
      <c r="K43" s="12"/>
    </row>
    <row r="44" spans="1:11" x14ac:dyDescent="0.25">
      <c r="A44" s="29">
        <v>45363</v>
      </c>
      <c r="B44" s="3" t="s">
        <v>17</v>
      </c>
      <c r="C44" s="12" t="s">
        <v>25</v>
      </c>
      <c r="D44" s="38">
        <v>138</v>
      </c>
      <c r="E44" s="7">
        <v>138</v>
      </c>
      <c r="F44" s="7">
        <v>43.282608695652172</v>
      </c>
      <c r="G4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44" s="44" t="str">
        <f>IF(Tabla1[[#This Row],[FILTER_1]]="CONTES","EFECTIVO","NO EFECTIVO")</f>
        <v>EFECTIVO</v>
      </c>
      <c r="I44" s="44" t="str">
        <f>LEFT(Tabla1[[#This Row],[Tipificación]],6)</f>
        <v>CONTES</v>
      </c>
      <c r="J44" s="12" t="str">
        <f>IFERROR(VLOOKUP(Tabla1[[#This Row],[Subtipología]],' '!BU:BV,2,0),"NO EFECTIVA")</f>
        <v>EFECTIVA</v>
      </c>
      <c r="K44" s="12"/>
    </row>
    <row r="45" spans="1:11" x14ac:dyDescent="0.25">
      <c r="A45" s="29">
        <v>45363</v>
      </c>
      <c r="B45" s="3" t="s">
        <v>17</v>
      </c>
      <c r="C45" s="12" t="s">
        <v>26</v>
      </c>
      <c r="D45" s="38">
        <v>229</v>
      </c>
      <c r="E45" s="7">
        <v>213</v>
      </c>
      <c r="F45" s="7">
        <v>39.655021834061138</v>
      </c>
      <c r="G4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45" s="44" t="str">
        <f>IF(Tabla1[[#This Row],[FILTER_1]]="CONTES","EFECTIVO","NO EFECTIVO")</f>
        <v>EFECTIVO</v>
      </c>
      <c r="I45" s="44" t="str">
        <f>LEFT(Tabla1[[#This Row],[Tipificación]],6)</f>
        <v>CONTES</v>
      </c>
      <c r="J45" s="12" t="str">
        <f>IFERROR(VLOOKUP(Tabla1[[#This Row],[Subtipología]],' '!BU:BV,2,0),"NO EFECTIVA")</f>
        <v>EFECTIVA</v>
      </c>
      <c r="K45" s="12"/>
    </row>
    <row r="46" spans="1:11" x14ac:dyDescent="0.25">
      <c r="A46" s="29">
        <v>45363</v>
      </c>
      <c r="B46" s="3" t="s">
        <v>17</v>
      </c>
      <c r="C46" s="12" t="s">
        <v>34</v>
      </c>
      <c r="D46" s="38">
        <v>4252</v>
      </c>
      <c r="G46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46" s="44" t="str">
        <f>IF(Tabla1[[#This Row],[FILTER_1]]="CONTES","EFECTIVO","NO EFECTIVO")</f>
        <v>NO EFECTIVO</v>
      </c>
      <c r="I46" s="44" t="str">
        <f>LEFT(Tabla1[[#This Row],[Tipificación]],6)</f>
        <v>ERROR</v>
      </c>
      <c r="J46" s="12" t="str">
        <f>IFERROR(VLOOKUP(Tabla1[[#This Row],[Subtipología]],' '!BU:BV,2,0),"NO EFECTIVA")</f>
        <v>NO EFECTIVA</v>
      </c>
      <c r="K46" s="12"/>
    </row>
    <row r="47" spans="1:11" x14ac:dyDescent="0.25">
      <c r="A47" s="29">
        <v>45363</v>
      </c>
      <c r="B47" s="3" t="s">
        <v>17</v>
      </c>
      <c r="C47" s="12" t="s">
        <v>24</v>
      </c>
      <c r="D47" s="38">
        <v>18335</v>
      </c>
      <c r="E47" s="7">
        <v>12868</v>
      </c>
      <c r="F47" s="7">
        <v>28.321570766293974</v>
      </c>
      <c r="G4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47" s="44" t="str">
        <f>IF(Tabla1[[#This Row],[FILTER_1]]="CONTES","EFECTIVO","NO EFECTIVO")</f>
        <v>EFECTIVO</v>
      </c>
      <c r="I47" s="44" t="str">
        <f>LEFT(Tabla1[[#This Row],[Tipificación]],6)</f>
        <v>CONTES</v>
      </c>
      <c r="J47" s="12" t="str">
        <f>IFERROR(VLOOKUP(Tabla1[[#This Row],[Subtipología]],' '!BU:BV,2,0),"NO EFECTIVA")</f>
        <v>NO EFECTIVA</v>
      </c>
      <c r="K47" s="12"/>
    </row>
    <row r="48" spans="1:11" x14ac:dyDescent="0.25">
      <c r="A48" s="29">
        <v>45363</v>
      </c>
      <c r="B48" s="3" t="s">
        <v>17</v>
      </c>
      <c r="C48" s="12" t="s">
        <v>27</v>
      </c>
      <c r="D48" s="38">
        <v>50</v>
      </c>
      <c r="E48" s="7">
        <v>53</v>
      </c>
      <c r="F48" s="7">
        <v>62.46</v>
      </c>
      <c r="G4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48" s="44" t="str">
        <f>IF(Tabla1[[#This Row],[FILTER_1]]="CONTES","EFECTIVO","NO EFECTIVO")</f>
        <v>EFECTIVO</v>
      </c>
      <c r="I48" s="44" t="str">
        <f>LEFT(Tabla1[[#This Row],[Tipificación]],6)</f>
        <v>CONTES</v>
      </c>
      <c r="J48" s="12" t="str">
        <f>IFERROR(VLOOKUP(Tabla1[[#This Row],[Subtipología]],' '!BU:BV,2,0),"NO EFECTIVA")</f>
        <v>EFECTIVA</v>
      </c>
      <c r="K48" s="12"/>
    </row>
    <row r="49" spans="1:11" x14ac:dyDescent="0.25">
      <c r="A49" s="29">
        <v>45363</v>
      </c>
      <c r="B49" s="3" t="s">
        <v>17</v>
      </c>
      <c r="C49" s="12" t="s">
        <v>28</v>
      </c>
      <c r="D49" s="38">
        <v>164</v>
      </c>
      <c r="E49" s="7">
        <v>173</v>
      </c>
      <c r="F49" s="7">
        <v>51.146341463414636</v>
      </c>
      <c r="G4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49" s="44" t="str">
        <f>IF(Tabla1[[#This Row],[FILTER_1]]="CONTES","EFECTIVO","NO EFECTIVO")</f>
        <v>EFECTIVO</v>
      </c>
      <c r="I49" s="44" t="str">
        <f>LEFT(Tabla1[[#This Row],[Tipificación]],6)</f>
        <v>CONTES</v>
      </c>
      <c r="J49" s="12" t="str">
        <f>IFERROR(VLOOKUP(Tabla1[[#This Row],[Subtipología]],' '!BU:BV,2,0),"NO EFECTIVA")</f>
        <v>EFECTIVA</v>
      </c>
      <c r="K49" s="12"/>
    </row>
    <row r="50" spans="1:11" x14ac:dyDescent="0.25">
      <c r="A50" s="29">
        <v>45363</v>
      </c>
      <c r="B50" s="3" t="s">
        <v>17</v>
      </c>
      <c r="C50" s="12" t="s">
        <v>29</v>
      </c>
      <c r="D50" s="38">
        <v>252</v>
      </c>
      <c r="E50" s="7">
        <v>293</v>
      </c>
      <c r="F50" s="7">
        <v>63.047619047619051</v>
      </c>
      <c r="G5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50" s="44" t="str">
        <f>IF(Tabla1[[#This Row],[FILTER_1]]="CONTES","EFECTIVO","NO EFECTIVO")</f>
        <v>EFECTIVO</v>
      </c>
      <c r="I50" s="44" t="str">
        <f>LEFT(Tabla1[[#This Row],[Tipificación]],6)</f>
        <v>CONTES</v>
      </c>
      <c r="J50" s="12" t="str">
        <f>IFERROR(VLOOKUP(Tabla1[[#This Row],[Subtipología]],' '!BU:BV,2,0),"NO EFECTIVA")</f>
        <v>EFECTIVA</v>
      </c>
      <c r="K50" s="12"/>
    </row>
    <row r="51" spans="1:11" x14ac:dyDescent="0.25">
      <c r="A51" s="29">
        <v>45363</v>
      </c>
      <c r="B51" s="3" t="s">
        <v>17</v>
      </c>
      <c r="C51" s="12" t="s">
        <v>30</v>
      </c>
      <c r="D51" s="38">
        <v>191</v>
      </c>
      <c r="E51" s="7">
        <v>132</v>
      </c>
      <c r="F51" s="7">
        <v>42.120418848167539</v>
      </c>
      <c r="G5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51" s="44" t="str">
        <f>IF(Tabla1[[#This Row],[FILTER_1]]="CONTES","EFECTIVO","NO EFECTIVO")</f>
        <v>EFECTIVO</v>
      </c>
      <c r="I51" s="44" t="str">
        <f>LEFT(Tabla1[[#This Row],[Tipificación]],6)</f>
        <v>CONTES</v>
      </c>
      <c r="J51" s="12" t="str">
        <f>IFERROR(VLOOKUP(Tabla1[[#This Row],[Subtipología]],' '!BU:BV,2,0),"NO EFECTIVA")</f>
        <v>EFECTIVA</v>
      </c>
      <c r="K51" s="12"/>
    </row>
    <row r="52" spans="1:11" x14ac:dyDescent="0.25">
      <c r="A52" s="29">
        <v>45363</v>
      </c>
      <c r="B52" s="3" t="s">
        <v>17</v>
      </c>
      <c r="C52" s="12" t="s">
        <v>32</v>
      </c>
      <c r="D52" s="38">
        <v>26</v>
      </c>
      <c r="E52" s="7">
        <v>25</v>
      </c>
      <c r="F52" s="7">
        <v>54.153846153846153</v>
      </c>
      <c r="G5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52" s="44" t="str">
        <f>IF(Tabla1[[#This Row],[FILTER_1]]="CONTES","EFECTIVO","NO EFECTIVO")</f>
        <v>EFECTIVO</v>
      </c>
      <c r="I52" s="44" t="str">
        <f>LEFT(Tabla1[[#This Row],[Tipificación]],6)</f>
        <v>CONTES</v>
      </c>
      <c r="J52" s="12" t="str">
        <f>IFERROR(VLOOKUP(Tabla1[[#This Row],[Subtipología]],' '!BU:BV,2,0),"NO EFECTIVA")</f>
        <v>EFECTIVA</v>
      </c>
      <c r="K52" s="12"/>
    </row>
    <row r="53" spans="1:11" x14ac:dyDescent="0.25">
      <c r="A53" s="29">
        <v>45363</v>
      </c>
      <c r="B53" s="3" t="s">
        <v>17</v>
      </c>
      <c r="C53" s="12" t="s">
        <v>31</v>
      </c>
      <c r="D53" s="38">
        <v>222</v>
      </c>
      <c r="E53" s="7">
        <v>253</v>
      </c>
      <c r="F53" s="7">
        <v>63.189189189189186</v>
      </c>
      <c r="G5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53" s="44" t="str">
        <f>IF(Tabla1[[#This Row],[FILTER_1]]="CONTES","EFECTIVO","NO EFECTIVO")</f>
        <v>EFECTIVO</v>
      </c>
      <c r="I53" s="44" t="str">
        <f>LEFT(Tabla1[[#This Row],[Tipificación]],6)</f>
        <v>CONTES</v>
      </c>
      <c r="J53" s="12" t="str">
        <f>IFERROR(VLOOKUP(Tabla1[[#This Row],[Subtipología]],' '!BU:BV,2,0),"NO EFECTIVA")</f>
        <v>EFECTIVA</v>
      </c>
      <c r="K53" s="12"/>
    </row>
    <row r="54" spans="1:11" x14ac:dyDescent="0.25">
      <c r="A54" s="29">
        <v>45363</v>
      </c>
      <c r="B54" s="3" t="s">
        <v>17</v>
      </c>
      <c r="C54" s="12" t="s">
        <v>33</v>
      </c>
      <c r="D54" s="38">
        <v>504</v>
      </c>
      <c r="E54" s="7">
        <v>567</v>
      </c>
      <c r="F54" s="7">
        <v>55.706349206349209</v>
      </c>
      <c r="G5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54" s="44" t="str">
        <f>IF(Tabla1[[#This Row],[FILTER_1]]="CONTES","EFECTIVO","NO EFECTIVO")</f>
        <v>EFECTIVO</v>
      </c>
      <c r="I54" s="44" t="str">
        <f>LEFT(Tabla1[[#This Row],[Tipificación]],6)</f>
        <v>CONTES</v>
      </c>
      <c r="J54" s="12" t="str">
        <f>IFERROR(VLOOKUP(Tabla1[[#This Row],[Subtipología]],' '!BU:BV,2,0),"NO EFECTIVA")</f>
        <v>EFECTIVA</v>
      </c>
      <c r="K54" s="12"/>
    </row>
    <row r="55" spans="1:11" x14ac:dyDescent="0.25">
      <c r="A55" s="29">
        <v>45364</v>
      </c>
      <c r="B55" s="3" t="s">
        <v>17</v>
      </c>
      <c r="C55" s="12" t="s">
        <v>25</v>
      </c>
      <c r="D55" s="38">
        <v>135</v>
      </c>
      <c r="E55" s="7">
        <v>136</v>
      </c>
      <c r="F55" s="7">
        <v>43.177777777777777</v>
      </c>
      <c r="G5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55" s="44" t="str">
        <f>IF(Tabla1[[#This Row],[FILTER_1]]="CONTES","EFECTIVO","NO EFECTIVO")</f>
        <v>EFECTIVO</v>
      </c>
      <c r="I55" s="44" t="str">
        <f>LEFT(Tabla1[[#This Row],[Tipificación]],6)</f>
        <v>CONTES</v>
      </c>
      <c r="J55" s="12" t="str">
        <f>IFERROR(VLOOKUP(Tabla1[[#This Row],[Subtipología]],' '!BU:BV,2,0),"NO EFECTIVA")</f>
        <v>EFECTIVA</v>
      </c>
      <c r="K55" s="12"/>
    </row>
    <row r="56" spans="1:11" x14ac:dyDescent="0.25">
      <c r="A56" s="29">
        <v>45364</v>
      </c>
      <c r="B56" s="3" t="s">
        <v>17</v>
      </c>
      <c r="C56" s="12" t="s">
        <v>26</v>
      </c>
      <c r="D56" s="38">
        <v>62</v>
      </c>
      <c r="E56" s="7">
        <v>59</v>
      </c>
      <c r="F56" s="7">
        <v>41.387096774193552</v>
      </c>
      <c r="G5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56" s="44" t="str">
        <f>IF(Tabla1[[#This Row],[FILTER_1]]="CONTES","EFECTIVO","NO EFECTIVO")</f>
        <v>EFECTIVO</v>
      </c>
      <c r="I56" s="44" t="str">
        <f>LEFT(Tabla1[[#This Row],[Tipificación]],6)</f>
        <v>CONTES</v>
      </c>
      <c r="J56" s="12" t="str">
        <f>IFERROR(VLOOKUP(Tabla1[[#This Row],[Subtipología]],' '!BU:BV,2,0),"NO EFECTIVA")</f>
        <v>EFECTIVA</v>
      </c>
      <c r="K56" s="12"/>
    </row>
    <row r="57" spans="1:11" x14ac:dyDescent="0.25">
      <c r="A57" s="29">
        <v>45364</v>
      </c>
      <c r="B57" s="3" t="s">
        <v>17</v>
      </c>
      <c r="C57" s="12" t="s">
        <v>34</v>
      </c>
      <c r="D57" s="38">
        <v>2197</v>
      </c>
      <c r="G57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57" s="44" t="str">
        <f>IF(Tabla1[[#This Row],[FILTER_1]]="CONTES","EFECTIVO","NO EFECTIVO")</f>
        <v>NO EFECTIVO</v>
      </c>
      <c r="I57" s="44" t="str">
        <f>LEFT(Tabla1[[#This Row],[Tipificación]],6)</f>
        <v>ERROR</v>
      </c>
      <c r="J57" s="12" t="str">
        <f>IFERROR(VLOOKUP(Tabla1[[#This Row],[Subtipología]],' '!BU:BV,2,0),"NO EFECTIVA")</f>
        <v>NO EFECTIVA</v>
      </c>
      <c r="K57" s="12"/>
    </row>
    <row r="58" spans="1:11" x14ac:dyDescent="0.25">
      <c r="A58" s="29">
        <v>45364</v>
      </c>
      <c r="B58" s="3" t="s">
        <v>17</v>
      </c>
      <c r="C58" s="12" t="s">
        <v>24</v>
      </c>
      <c r="D58" s="38">
        <v>3970</v>
      </c>
      <c r="E58" s="7">
        <v>1679</v>
      </c>
      <c r="F58" s="7">
        <v>26.684130982367758</v>
      </c>
      <c r="G5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58" s="44" t="str">
        <f>IF(Tabla1[[#This Row],[FILTER_1]]="CONTES","EFECTIVO","NO EFECTIVO")</f>
        <v>EFECTIVO</v>
      </c>
      <c r="I58" s="44" t="str">
        <f>LEFT(Tabla1[[#This Row],[Tipificación]],6)</f>
        <v>CONTES</v>
      </c>
      <c r="J58" s="12" t="str">
        <f>IFERROR(VLOOKUP(Tabla1[[#This Row],[Subtipología]],' '!BU:BV,2,0),"NO EFECTIVA")</f>
        <v>NO EFECTIVA</v>
      </c>
      <c r="K58" s="12"/>
    </row>
    <row r="59" spans="1:11" x14ac:dyDescent="0.25">
      <c r="A59" s="29">
        <v>45364</v>
      </c>
      <c r="B59" s="3" t="s">
        <v>17</v>
      </c>
      <c r="C59" s="12" t="s">
        <v>27</v>
      </c>
      <c r="D59" s="38">
        <v>96</v>
      </c>
      <c r="E59" s="7">
        <v>108</v>
      </c>
      <c r="F59" s="7">
        <v>61.84375</v>
      </c>
      <c r="G5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59" s="44" t="str">
        <f>IF(Tabla1[[#This Row],[FILTER_1]]="CONTES","EFECTIVO","NO EFECTIVO")</f>
        <v>EFECTIVO</v>
      </c>
      <c r="I59" s="44" t="str">
        <f>LEFT(Tabla1[[#This Row],[Tipificación]],6)</f>
        <v>CONTES</v>
      </c>
      <c r="J59" s="12" t="str">
        <f>IFERROR(VLOOKUP(Tabla1[[#This Row],[Subtipología]],' '!BU:BV,2,0),"NO EFECTIVA")</f>
        <v>EFECTIVA</v>
      </c>
      <c r="K59" s="12"/>
    </row>
    <row r="60" spans="1:11" x14ac:dyDescent="0.25">
      <c r="A60" s="29">
        <v>45364</v>
      </c>
      <c r="B60" s="3" t="s">
        <v>17</v>
      </c>
      <c r="C60" s="12" t="s">
        <v>28</v>
      </c>
      <c r="D60" s="38">
        <v>190</v>
      </c>
      <c r="E60" s="7">
        <v>194</v>
      </c>
      <c r="F60" s="7">
        <v>49.510526315789477</v>
      </c>
      <c r="G6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60" s="44" t="str">
        <f>IF(Tabla1[[#This Row],[FILTER_1]]="CONTES","EFECTIVO","NO EFECTIVO")</f>
        <v>EFECTIVO</v>
      </c>
      <c r="I60" s="44" t="str">
        <f>LEFT(Tabla1[[#This Row],[Tipificación]],6)</f>
        <v>CONTES</v>
      </c>
      <c r="J60" s="12" t="str">
        <f>IFERROR(VLOOKUP(Tabla1[[#This Row],[Subtipología]],' '!BU:BV,2,0),"NO EFECTIVA")</f>
        <v>EFECTIVA</v>
      </c>
      <c r="K60" s="12"/>
    </row>
    <row r="61" spans="1:11" x14ac:dyDescent="0.25">
      <c r="A61" s="29">
        <v>45364</v>
      </c>
      <c r="B61" s="3" t="s">
        <v>17</v>
      </c>
      <c r="C61" s="12" t="s">
        <v>29</v>
      </c>
      <c r="D61" s="38">
        <v>284</v>
      </c>
      <c r="E61" s="7">
        <v>314</v>
      </c>
      <c r="F61" s="7">
        <v>61.602112676056336</v>
      </c>
      <c r="G6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61" s="44" t="str">
        <f>IF(Tabla1[[#This Row],[FILTER_1]]="CONTES","EFECTIVO","NO EFECTIVO")</f>
        <v>EFECTIVO</v>
      </c>
      <c r="I61" s="44" t="str">
        <f>LEFT(Tabla1[[#This Row],[Tipificación]],6)</f>
        <v>CONTES</v>
      </c>
      <c r="J61" s="12" t="str">
        <f>IFERROR(VLOOKUP(Tabla1[[#This Row],[Subtipología]],' '!BU:BV,2,0),"NO EFECTIVA")</f>
        <v>EFECTIVA</v>
      </c>
      <c r="K61" s="12"/>
    </row>
    <row r="62" spans="1:11" x14ac:dyDescent="0.25">
      <c r="A62" s="29">
        <v>45364</v>
      </c>
      <c r="B62" s="3" t="s">
        <v>17</v>
      </c>
      <c r="C62" s="12" t="s">
        <v>30</v>
      </c>
      <c r="D62" s="38">
        <v>131</v>
      </c>
      <c r="E62" s="7">
        <v>114</v>
      </c>
      <c r="F62" s="7">
        <v>48.213740458015266</v>
      </c>
      <c r="G6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62" s="44" t="str">
        <f>IF(Tabla1[[#This Row],[FILTER_1]]="CONTES","EFECTIVO","NO EFECTIVO")</f>
        <v>EFECTIVO</v>
      </c>
      <c r="I62" s="44" t="str">
        <f>LEFT(Tabla1[[#This Row],[Tipificación]],6)</f>
        <v>CONTES</v>
      </c>
      <c r="J62" s="12" t="str">
        <f>IFERROR(VLOOKUP(Tabla1[[#This Row],[Subtipología]],' '!BU:BV,2,0),"NO EFECTIVA")</f>
        <v>EFECTIVA</v>
      </c>
      <c r="K62" s="12"/>
    </row>
    <row r="63" spans="1:11" x14ac:dyDescent="0.25">
      <c r="A63" s="29">
        <v>45364</v>
      </c>
      <c r="B63" s="3" t="s">
        <v>17</v>
      </c>
      <c r="C63" s="12" t="s">
        <v>32</v>
      </c>
      <c r="D63" s="38">
        <v>19</v>
      </c>
      <c r="E63" s="7">
        <v>19</v>
      </c>
      <c r="F63" s="7">
        <v>61.421052631578945</v>
      </c>
      <c r="G6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63" s="44" t="str">
        <f>IF(Tabla1[[#This Row],[FILTER_1]]="CONTES","EFECTIVO","NO EFECTIVO")</f>
        <v>EFECTIVO</v>
      </c>
      <c r="I63" s="44" t="str">
        <f>LEFT(Tabla1[[#This Row],[Tipificación]],6)</f>
        <v>CONTES</v>
      </c>
      <c r="J63" s="12" t="str">
        <f>IFERROR(VLOOKUP(Tabla1[[#This Row],[Subtipología]],' '!BU:BV,2,0),"NO EFECTIVA")</f>
        <v>EFECTIVA</v>
      </c>
      <c r="K63" s="12"/>
    </row>
    <row r="64" spans="1:11" x14ac:dyDescent="0.25">
      <c r="A64" s="29">
        <v>45364</v>
      </c>
      <c r="B64" s="3" t="s">
        <v>17</v>
      </c>
      <c r="C64" s="12" t="s">
        <v>31</v>
      </c>
      <c r="D64" s="38">
        <v>492</v>
      </c>
      <c r="E64" s="7">
        <v>560</v>
      </c>
      <c r="F64" s="7">
        <v>62.827235772357724</v>
      </c>
      <c r="G6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64" s="44" t="str">
        <f>IF(Tabla1[[#This Row],[FILTER_1]]="CONTES","EFECTIVO","NO EFECTIVO")</f>
        <v>EFECTIVO</v>
      </c>
      <c r="I64" s="44" t="str">
        <f>LEFT(Tabla1[[#This Row],[Tipificación]],6)</f>
        <v>CONTES</v>
      </c>
      <c r="J64" s="12" t="str">
        <f>IFERROR(VLOOKUP(Tabla1[[#This Row],[Subtipología]],' '!BU:BV,2,0),"NO EFECTIVA")</f>
        <v>EFECTIVA</v>
      </c>
      <c r="K64" s="12"/>
    </row>
    <row r="65" spans="1:11" x14ac:dyDescent="0.25">
      <c r="A65" s="29">
        <v>45364</v>
      </c>
      <c r="B65" s="3" t="s">
        <v>17</v>
      </c>
      <c r="C65" s="12" t="s">
        <v>33</v>
      </c>
      <c r="D65" s="38">
        <v>551</v>
      </c>
      <c r="E65" s="7">
        <v>636</v>
      </c>
      <c r="F65" s="7">
        <v>58.081669691470054</v>
      </c>
      <c r="G6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65" s="44" t="str">
        <f>IF(Tabla1[[#This Row],[FILTER_1]]="CONTES","EFECTIVO","NO EFECTIVO")</f>
        <v>EFECTIVO</v>
      </c>
      <c r="I65" s="44" t="str">
        <f>LEFT(Tabla1[[#This Row],[Tipificación]],6)</f>
        <v>CONTES</v>
      </c>
      <c r="J65" s="12" t="str">
        <f>IFERROR(VLOOKUP(Tabla1[[#This Row],[Subtipología]],' '!BU:BV,2,0),"NO EFECTIVA")</f>
        <v>EFECTIVA</v>
      </c>
      <c r="K65" s="12"/>
    </row>
    <row r="66" spans="1:11" x14ac:dyDescent="0.25">
      <c r="A66" s="29">
        <v>45365</v>
      </c>
      <c r="B66" s="3" t="s">
        <v>17</v>
      </c>
      <c r="C66" s="12" t="s">
        <v>25</v>
      </c>
      <c r="D66" s="38">
        <v>134</v>
      </c>
      <c r="E66" s="7">
        <v>136</v>
      </c>
      <c r="F66" s="7">
        <v>42.932835820895519</v>
      </c>
      <c r="G6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66" s="44" t="str">
        <f>IF(Tabla1[[#This Row],[FILTER_1]]="CONTES","EFECTIVO","NO EFECTIVO")</f>
        <v>EFECTIVO</v>
      </c>
      <c r="I66" s="44" t="str">
        <f>LEFT(Tabla1[[#This Row],[Tipificación]],6)</f>
        <v>CONTES</v>
      </c>
      <c r="J66" s="12" t="str">
        <f>IFERROR(VLOOKUP(Tabla1[[#This Row],[Subtipología]],' '!BU:BV,2,0),"NO EFECTIVA")</f>
        <v>EFECTIVA</v>
      </c>
      <c r="K66" s="12"/>
    </row>
    <row r="67" spans="1:11" x14ac:dyDescent="0.25">
      <c r="A67" s="29">
        <v>45365</v>
      </c>
      <c r="B67" s="3" t="s">
        <v>17</v>
      </c>
      <c r="C67" s="12" t="s">
        <v>26</v>
      </c>
      <c r="D67" s="38">
        <v>96</v>
      </c>
      <c r="E67" s="7">
        <v>89</v>
      </c>
      <c r="F67" s="7">
        <v>39.1875</v>
      </c>
      <c r="G6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67" s="44" t="str">
        <f>IF(Tabla1[[#This Row],[FILTER_1]]="CONTES","EFECTIVO","NO EFECTIVO")</f>
        <v>EFECTIVO</v>
      </c>
      <c r="I67" s="44" t="str">
        <f>LEFT(Tabla1[[#This Row],[Tipificación]],6)</f>
        <v>CONTES</v>
      </c>
      <c r="J67" s="12" t="str">
        <f>IFERROR(VLOOKUP(Tabla1[[#This Row],[Subtipología]],' '!BU:BV,2,0),"NO EFECTIVA")</f>
        <v>EFECTIVA</v>
      </c>
      <c r="K67" s="12"/>
    </row>
    <row r="68" spans="1:11" x14ac:dyDescent="0.25">
      <c r="A68" s="29">
        <v>45365</v>
      </c>
      <c r="B68" s="3" t="s">
        <v>17</v>
      </c>
      <c r="C68" s="12" t="s">
        <v>34</v>
      </c>
      <c r="D68" s="38">
        <v>3946</v>
      </c>
      <c r="G68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68" s="44" t="str">
        <f>IF(Tabla1[[#This Row],[FILTER_1]]="CONTES","EFECTIVO","NO EFECTIVO")</f>
        <v>NO EFECTIVO</v>
      </c>
      <c r="I68" s="44" t="str">
        <f>LEFT(Tabla1[[#This Row],[Tipificación]],6)</f>
        <v>ERROR</v>
      </c>
      <c r="J68" s="12" t="str">
        <f>IFERROR(VLOOKUP(Tabla1[[#This Row],[Subtipología]],' '!BU:BV,2,0),"NO EFECTIVA")</f>
        <v>NO EFECTIVA</v>
      </c>
      <c r="K68" s="12"/>
    </row>
    <row r="69" spans="1:11" x14ac:dyDescent="0.25">
      <c r="A69" s="29">
        <v>45365</v>
      </c>
      <c r="B69" s="3" t="s">
        <v>17</v>
      </c>
      <c r="C69" s="12" t="s">
        <v>24</v>
      </c>
      <c r="D69" s="38">
        <v>10521</v>
      </c>
      <c r="E69" s="7">
        <v>7883</v>
      </c>
      <c r="F69" s="7">
        <v>28.925387320596901</v>
      </c>
      <c r="G6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69" s="44" t="str">
        <f>IF(Tabla1[[#This Row],[FILTER_1]]="CONTES","EFECTIVO","NO EFECTIVO")</f>
        <v>EFECTIVO</v>
      </c>
      <c r="I69" s="44" t="str">
        <f>LEFT(Tabla1[[#This Row],[Tipificación]],6)</f>
        <v>CONTES</v>
      </c>
      <c r="J69" s="12" t="str">
        <f>IFERROR(VLOOKUP(Tabla1[[#This Row],[Subtipología]],' '!BU:BV,2,0),"NO EFECTIVA")</f>
        <v>NO EFECTIVA</v>
      </c>
      <c r="K69" s="12"/>
    </row>
    <row r="70" spans="1:11" x14ac:dyDescent="0.25">
      <c r="A70" s="29">
        <v>45365</v>
      </c>
      <c r="B70" s="3" t="s">
        <v>17</v>
      </c>
      <c r="C70" s="12" t="s">
        <v>27</v>
      </c>
      <c r="D70" s="38">
        <v>52</v>
      </c>
      <c r="E70" s="7">
        <v>57</v>
      </c>
      <c r="F70" s="7">
        <v>62.115384615384613</v>
      </c>
      <c r="G7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0" s="44" t="str">
        <f>IF(Tabla1[[#This Row],[FILTER_1]]="CONTES","EFECTIVO","NO EFECTIVO")</f>
        <v>EFECTIVO</v>
      </c>
      <c r="I70" s="44" t="str">
        <f>LEFT(Tabla1[[#This Row],[Tipificación]],6)</f>
        <v>CONTES</v>
      </c>
      <c r="J70" s="12" t="str">
        <f>IFERROR(VLOOKUP(Tabla1[[#This Row],[Subtipología]],' '!BU:BV,2,0),"NO EFECTIVA")</f>
        <v>EFECTIVA</v>
      </c>
      <c r="K70" s="12"/>
    </row>
    <row r="71" spans="1:11" x14ac:dyDescent="0.25">
      <c r="A71" s="29">
        <v>45365</v>
      </c>
      <c r="B71" s="3" t="s">
        <v>17</v>
      </c>
      <c r="C71" s="12" t="s">
        <v>28</v>
      </c>
      <c r="D71" s="38">
        <v>223</v>
      </c>
      <c r="E71" s="7">
        <v>234</v>
      </c>
      <c r="F71" s="7">
        <v>51.412556053811656</v>
      </c>
      <c r="G7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1" s="44" t="str">
        <f>IF(Tabla1[[#This Row],[FILTER_1]]="CONTES","EFECTIVO","NO EFECTIVO")</f>
        <v>EFECTIVO</v>
      </c>
      <c r="I71" s="44" t="str">
        <f>LEFT(Tabla1[[#This Row],[Tipificación]],6)</f>
        <v>CONTES</v>
      </c>
      <c r="J71" s="12" t="str">
        <f>IFERROR(VLOOKUP(Tabla1[[#This Row],[Subtipología]],' '!BU:BV,2,0),"NO EFECTIVA")</f>
        <v>EFECTIVA</v>
      </c>
      <c r="K71" s="12"/>
    </row>
    <row r="72" spans="1:11" x14ac:dyDescent="0.25">
      <c r="A72" s="29">
        <v>45365</v>
      </c>
      <c r="B72" s="3" t="s">
        <v>17</v>
      </c>
      <c r="C72" s="12" t="s">
        <v>29</v>
      </c>
      <c r="D72" s="38">
        <v>110</v>
      </c>
      <c r="E72" s="7">
        <v>128</v>
      </c>
      <c r="F72" s="7">
        <v>63.281818181818181</v>
      </c>
      <c r="G7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2" s="44" t="str">
        <f>IF(Tabla1[[#This Row],[FILTER_1]]="CONTES","EFECTIVO","NO EFECTIVO")</f>
        <v>EFECTIVO</v>
      </c>
      <c r="I72" s="44" t="str">
        <f>LEFT(Tabla1[[#This Row],[Tipificación]],6)</f>
        <v>CONTES</v>
      </c>
      <c r="J72" s="12" t="str">
        <f>IFERROR(VLOOKUP(Tabla1[[#This Row],[Subtipología]],' '!BU:BV,2,0),"NO EFECTIVA")</f>
        <v>EFECTIVA</v>
      </c>
      <c r="K72" s="12"/>
    </row>
    <row r="73" spans="1:11" x14ac:dyDescent="0.25">
      <c r="A73" s="29">
        <v>45365</v>
      </c>
      <c r="B73" s="3" t="s">
        <v>17</v>
      </c>
      <c r="C73" s="12" t="s">
        <v>30</v>
      </c>
      <c r="D73" s="38">
        <v>122</v>
      </c>
      <c r="E73" s="7">
        <v>93</v>
      </c>
      <c r="F73" s="7">
        <v>43.819672131147541</v>
      </c>
      <c r="G7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73" s="44" t="str">
        <f>IF(Tabla1[[#This Row],[FILTER_1]]="CONTES","EFECTIVO","NO EFECTIVO")</f>
        <v>EFECTIVO</v>
      </c>
      <c r="I73" s="44" t="str">
        <f>LEFT(Tabla1[[#This Row],[Tipificación]],6)</f>
        <v>CONTES</v>
      </c>
      <c r="J73" s="12" t="str">
        <f>IFERROR(VLOOKUP(Tabla1[[#This Row],[Subtipología]],' '!BU:BV,2,0),"NO EFECTIVA")</f>
        <v>EFECTIVA</v>
      </c>
      <c r="K73" s="12"/>
    </row>
    <row r="74" spans="1:11" x14ac:dyDescent="0.25">
      <c r="A74" s="29">
        <v>45365</v>
      </c>
      <c r="B74" s="3" t="s">
        <v>17</v>
      </c>
      <c r="C74" s="12" t="s">
        <v>32</v>
      </c>
      <c r="D74" s="38">
        <v>25</v>
      </c>
      <c r="E74" s="7">
        <v>25</v>
      </c>
      <c r="F74" s="7">
        <v>57.36</v>
      </c>
      <c r="G7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74" s="44" t="str">
        <f>IF(Tabla1[[#This Row],[FILTER_1]]="CONTES","EFECTIVO","NO EFECTIVO")</f>
        <v>EFECTIVO</v>
      </c>
      <c r="I74" s="44" t="str">
        <f>LEFT(Tabla1[[#This Row],[Tipificación]],6)</f>
        <v>CONTES</v>
      </c>
      <c r="J74" s="12" t="str">
        <f>IFERROR(VLOOKUP(Tabla1[[#This Row],[Subtipología]],' '!BU:BV,2,0),"NO EFECTIVA")</f>
        <v>EFECTIVA</v>
      </c>
      <c r="K74" s="12"/>
    </row>
    <row r="75" spans="1:11" x14ac:dyDescent="0.25">
      <c r="A75" s="29">
        <v>45365</v>
      </c>
      <c r="B75" s="3" t="s">
        <v>17</v>
      </c>
      <c r="C75" s="12" t="s">
        <v>31</v>
      </c>
      <c r="D75" s="38">
        <v>288</v>
      </c>
      <c r="E75" s="7">
        <v>326</v>
      </c>
      <c r="F75" s="7">
        <v>62.503472222222221</v>
      </c>
      <c r="G7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5" s="44" t="str">
        <f>IF(Tabla1[[#This Row],[FILTER_1]]="CONTES","EFECTIVO","NO EFECTIVO")</f>
        <v>EFECTIVO</v>
      </c>
      <c r="I75" s="44" t="str">
        <f>LEFT(Tabla1[[#This Row],[Tipificación]],6)</f>
        <v>CONTES</v>
      </c>
      <c r="J75" s="12" t="str">
        <f>IFERROR(VLOOKUP(Tabla1[[#This Row],[Subtipología]],' '!BU:BV,2,0),"NO EFECTIVA")</f>
        <v>EFECTIVA</v>
      </c>
      <c r="K75" s="12"/>
    </row>
    <row r="76" spans="1:11" x14ac:dyDescent="0.25">
      <c r="A76" s="29">
        <v>45365</v>
      </c>
      <c r="B76" s="3" t="s">
        <v>17</v>
      </c>
      <c r="C76" s="12" t="s">
        <v>33</v>
      </c>
      <c r="D76" s="38">
        <v>412</v>
      </c>
      <c r="E76" s="7">
        <v>447</v>
      </c>
      <c r="F76" s="7">
        <v>56.060679611650485</v>
      </c>
      <c r="G7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76" s="44" t="str">
        <f>IF(Tabla1[[#This Row],[FILTER_1]]="CONTES","EFECTIVO","NO EFECTIVO")</f>
        <v>EFECTIVO</v>
      </c>
      <c r="I76" s="44" t="str">
        <f>LEFT(Tabla1[[#This Row],[Tipificación]],6)</f>
        <v>CONTES</v>
      </c>
      <c r="J76" s="12" t="str">
        <f>IFERROR(VLOOKUP(Tabla1[[#This Row],[Subtipología]],' '!BU:BV,2,0),"NO EFECTIVA")</f>
        <v>EFECTIVA</v>
      </c>
      <c r="K76" s="12"/>
    </row>
    <row r="77" spans="1:11" x14ac:dyDescent="0.25">
      <c r="A77" s="29">
        <v>45366</v>
      </c>
      <c r="B77" s="3" t="s">
        <v>17</v>
      </c>
      <c r="C77" s="12" t="s">
        <v>25</v>
      </c>
      <c r="D77" s="38">
        <v>69</v>
      </c>
      <c r="E77" s="7">
        <v>67</v>
      </c>
      <c r="F77" s="7">
        <v>42.173913043478258</v>
      </c>
      <c r="G7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7" s="44" t="str">
        <f>IF(Tabla1[[#This Row],[FILTER_1]]="CONTES","EFECTIVO","NO EFECTIVO")</f>
        <v>EFECTIVO</v>
      </c>
      <c r="I77" s="44" t="str">
        <f>LEFT(Tabla1[[#This Row],[Tipificación]],6)</f>
        <v>CONTES</v>
      </c>
      <c r="J77" s="12" t="str">
        <f>IFERROR(VLOOKUP(Tabla1[[#This Row],[Subtipología]],' '!BU:BV,2,0),"NO EFECTIVA")</f>
        <v>EFECTIVA</v>
      </c>
      <c r="K77" s="12"/>
    </row>
    <row r="78" spans="1:11" x14ac:dyDescent="0.25">
      <c r="A78" s="29">
        <v>45366</v>
      </c>
      <c r="B78" s="3" t="s">
        <v>17</v>
      </c>
      <c r="C78" s="12" t="s">
        <v>26</v>
      </c>
      <c r="D78" s="38">
        <v>73</v>
      </c>
      <c r="E78" s="7">
        <v>64</v>
      </c>
      <c r="F78" s="7">
        <v>37.794520547945204</v>
      </c>
      <c r="G7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78" s="44" t="str">
        <f>IF(Tabla1[[#This Row],[FILTER_1]]="CONTES","EFECTIVO","NO EFECTIVO")</f>
        <v>EFECTIVO</v>
      </c>
      <c r="I78" s="44" t="str">
        <f>LEFT(Tabla1[[#This Row],[Tipificación]],6)</f>
        <v>CONTES</v>
      </c>
      <c r="J78" s="12" t="str">
        <f>IFERROR(VLOOKUP(Tabla1[[#This Row],[Subtipología]],' '!BU:BV,2,0),"NO EFECTIVA")</f>
        <v>EFECTIVA</v>
      </c>
      <c r="K78" s="12"/>
    </row>
    <row r="79" spans="1:11" x14ac:dyDescent="0.25">
      <c r="A79" s="29">
        <v>45366</v>
      </c>
      <c r="B79" s="3" t="s">
        <v>17</v>
      </c>
      <c r="C79" s="12" t="s">
        <v>34</v>
      </c>
      <c r="D79" s="38">
        <v>4819</v>
      </c>
      <c r="G79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79" s="44" t="str">
        <f>IF(Tabla1[[#This Row],[FILTER_1]]="CONTES","EFECTIVO","NO EFECTIVO")</f>
        <v>NO EFECTIVO</v>
      </c>
      <c r="I79" s="44" t="str">
        <f>LEFT(Tabla1[[#This Row],[Tipificación]],6)</f>
        <v>ERROR</v>
      </c>
      <c r="J79" s="12" t="str">
        <f>IFERROR(VLOOKUP(Tabla1[[#This Row],[Subtipología]],' '!BU:BV,2,0),"NO EFECTIVA")</f>
        <v>NO EFECTIVA</v>
      </c>
      <c r="K79" s="12"/>
    </row>
    <row r="80" spans="1:11" x14ac:dyDescent="0.25">
      <c r="A80" s="29">
        <v>45366</v>
      </c>
      <c r="B80" s="3" t="s">
        <v>17</v>
      </c>
      <c r="C80" s="12" t="s">
        <v>24</v>
      </c>
      <c r="D80" s="38">
        <v>24245</v>
      </c>
      <c r="E80" s="7">
        <v>18678</v>
      </c>
      <c r="F80" s="7">
        <v>29.112105588781191</v>
      </c>
      <c r="G8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80" s="44" t="str">
        <f>IF(Tabla1[[#This Row],[FILTER_1]]="CONTES","EFECTIVO","NO EFECTIVO")</f>
        <v>EFECTIVO</v>
      </c>
      <c r="I80" s="44" t="str">
        <f>LEFT(Tabla1[[#This Row],[Tipificación]],6)</f>
        <v>CONTES</v>
      </c>
      <c r="J80" s="12" t="str">
        <f>IFERROR(VLOOKUP(Tabla1[[#This Row],[Subtipología]],' '!BU:BV,2,0),"NO EFECTIVA")</f>
        <v>NO EFECTIVA</v>
      </c>
      <c r="K80" s="12"/>
    </row>
    <row r="81" spans="1:11" x14ac:dyDescent="0.25">
      <c r="A81" s="29">
        <v>45366</v>
      </c>
      <c r="B81" s="3" t="s">
        <v>17</v>
      </c>
      <c r="C81" s="12" t="s">
        <v>27</v>
      </c>
      <c r="D81" s="38">
        <v>35</v>
      </c>
      <c r="E81" s="7">
        <v>39</v>
      </c>
      <c r="F81" s="7">
        <v>63.171428571428571</v>
      </c>
      <c r="G8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1" s="44" t="str">
        <f>IF(Tabla1[[#This Row],[FILTER_1]]="CONTES","EFECTIVO","NO EFECTIVO")</f>
        <v>EFECTIVO</v>
      </c>
      <c r="I81" s="44" t="str">
        <f>LEFT(Tabla1[[#This Row],[Tipificación]],6)</f>
        <v>CONTES</v>
      </c>
      <c r="J81" s="12" t="str">
        <f>IFERROR(VLOOKUP(Tabla1[[#This Row],[Subtipología]],' '!BU:BV,2,0),"NO EFECTIVA")</f>
        <v>EFECTIVA</v>
      </c>
      <c r="K81" s="12"/>
    </row>
    <row r="82" spans="1:11" x14ac:dyDescent="0.25">
      <c r="A82" s="29">
        <v>45366</v>
      </c>
      <c r="B82" s="3" t="s">
        <v>17</v>
      </c>
      <c r="C82" s="12" t="s">
        <v>28</v>
      </c>
      <c r="D82" s="38">
        <v>264</v>
      </c>
      <c r="E82" s="7">
        <v>272</v>
      </c>
      <c r="F82" s="7">
        <v>50.882575757575758</v>
      </c>
      <c r="G8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2" s="44" t="str">
        <f>IF(Tabla1[[#This Row],[FILTER_1]]="CONTES","EFECTIVO","NO EFECTIVO")</f>
        <v>EFECTIVO</v>
      </c>
      <c r="I82" s="44" t="str">
        <f>LEFT(Tabla1[[#This Row],[Tipificación]],6)</f>
        <v>CONTES</v>
      </c>
      <c r="J82" s="12" t="str">
        <f>IFERROR(VLOOKUP(Tabla1[[#This Row],[Subtipología]],' '!BU:BV,2,0),"NO EFECTIVA")</f>
        <v>EFECTIVA</v>
      </c>
      <c r="K82" s="12"/>
    </row>
    <row r="83" spans="1:11" x14ac:dyDescent="0.25">
      <c r="A83" s="29">
        <v>45366</v>
      </c>
      <c r="B83" s="3" t="s">
        <v>17</v>
      </c>
      <c r="C83" s="12" t="s">
        <v>29</v>
      </c>
      <c r="D83" s="38">
        <v>98</v>
      </c>
      <c r="E83" s="7">
        <v>117</v>
      </c>
      <c r="F83" s="7">
        <v>64.448979591836732</v>
      </c>
      <c r="G8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3" s="44" t="str">
        <f>IF(Tabla1[[#This Row],[FILTER_1]]="CONTES","EFECTIVO","NO EFECTIVO")</f>
        <v>EFECTIVO</v>
      </c>
      <c r="I83" s="44" t="str">
        <f>LEFT(Tabla1[[#This Row],[Tipificación]],6)</f>
        <v>CONTES</v>
      </c>
      <c r="J83" s="12" t="str">
        <f>IFERROR(VLOOKUP(Tabla1[[#This Row],[Subtipología]],' '!BU:BV,2,0),"NO EFECTIVA")</f>
        <v>EFECTIVA</v>
      </c>
      <c r="K83" s="12"/>
    </row>
    <row r="84" spans="1:11" x14ac:dyDescent="0.25">
      <c r="A84" s="29">
        <v>45366</v>
      </c>
      <c r="B84" s="3" t="s">
        <v>17</v>
      </c>
      <c r="C84" s="12" t="s">
        <v>30</v>
      </c>
      <c r="D84" s="38">
        <v>86</v>
      </c>
      <c r="E84" s="7">
        <v>53</v>
      </c>
      <c r="F84" s="7">
        <v>38.511627906976742</v>
      </c>
      <c r="G8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84" s="44" t="str">
        <f>IF(Tabla1[[#This Row],[FILTER_1]]="CONTES","EFECTIVO","NO EFECTIVO")</f>
        <v>EFECTIVO</v>
      </c>
      <c r="I84" s="44" t="str">
        <f>LEFT(Tabla1[[#This Row],[Tipificación]],6)</f>
        <v>CONTES</v>
      </c>
      <c r="J84" s="12" t="str">
        <f>IFERROR(VLOOKUP(Tabla1[[#This Row],[Subtipología]],' '!BU:BV,2,0),"NO EFECTIVA")</f>
        <v>EFECTIVA</v>
      </c>
      <c r="K84" s="12"/>
    </row>
    <row r="85" spans="1:11" x14ac:dyDescent="0.25">
      <c r="A85" s="29">
        <v>45366</v>
      </c>
      <c r="B85" s="3" t="s">
        <v>17</v>
      </c>
      <c r="C85" s="12" t="s">
        <v>32</v>
      </c>
      <c r="D85" s="38">
        <v>19</v>
      </c>
      <c r="E85" s="7">
        <v>21</v>
      </c>
      <c r="F85" s="7">
        <v>50.157894736842103</v>
      </c>
      <c r="G8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85" s="44" t="str">
        <f>IF(Tabla1[[#This Row],[FILTER_1]]="CONTES","EFECTIVO","NO EFECTIVO")</f>
        <v>EFECTIVO</v>
      </c>
      <c r="I85" s="44" t="str">
        <f>LEFT(Tabla1[[#This Row],[Tipificación]],6)</f>
        <v>CONTES</v>
      </c>
      <c r="J85" s="12" t="str">
        <f>IFERROR(VLOOKUP(Tabla1[[#This Row],[Subtipología]],' '!BU:BV,2,0),"NO EFECTIVA")</f>
        <v>EFECTIVA</v>
      </c>
      <c r="K85" s="12"/>
    </row>
    <row r="86" spans="1:11" x14ac:dyDescent="0.25">
      <c r="A86" s="29">
        <v>45366</v>
      </c>
      <c r="B86" s="3" t="s">
        <v>17</v>
      </c>
      <c r="C86" s="12" t="s">
        <v>31</v>
      </c>
      <c r="D86" s="38">
        <v>271</v>
      </c>
      <c r="E86" s="7">
        <v>301</v>
      </c>
      <c r="F86" s="7">
        <v>61.963099630996311</v>
      </c>
      <c r="G8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6" s="44" t="str">
        <f>IF(Tabla1[[#This Row],[FILTER_1]]="CONTES","EFECTIVO","NO EFECTIVO")</f>
        <v>EFECTIVO</v>
      </c>
      <c r="I86" s="44" t="str">
        <f>LEFT(Tabla1[[#This Row],[Tipificación]],6)</f>
        <v>CONTES</v>
      </c>
      <c r="J86" s="12" t="str">
        <f>IFERROR(VLOOKUP(Tabla1[[#This Row],[Subtipología]],' '!BU:BV,2,0),"NO EFECTIVA")</f>
        <v>EFECTIVA</v>
      </c>
      <c r="K86" s="12"/>
    </row>
    <row r="87" spans="1:11" x14ac:dyDescent="0.25">
      <c r="A87" s="29">
        <v>45366</v>
      </c>
      <c r="B87" s="3" t="s">
        <v>17</v>
      </c>
      <c r="C87" s="12" t="s">
        <v>33</v>
      </c>
      <c r="D87" s="38">
        <v>443</v>
      </c>
      <c r="E87" s="7">
        <v>434</v>
      </c>
      <c r="F87" s="7">
        <v>50.50112866817156</v>
      </c>
      <c r="G8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87" s="44" t="str">
        <f>IF(Tabla1[[#This Row],[FILTER_1]]="CONTES","EFECTIVO","NO EFECTIVO")</f>
        <v>EFECTIVO</v>
      </c>
      <c r="I87" s="44" t="str">
        <f>LEFT(Tabla1[[#This Row],[Tipificación]],6)</f>
        <v>CONTES</v>
      </c>
      <c r="J87" s="12" t="str">
        <f>IFERROR(VLOOKUP(Tabla1[[#This Row],[Subtipología]],' '!BU:BV,2,0),"NO EFECTIVA")</f>
        <v>EFECTIVA</v>
      </c>
      <c r="K87" s="12"/>
    </row>
    <row r="88" spans="1:11" x14ac:dyDescent="0.25">
      <c r="A88" s="29">
        <v>45367</v>
      </c>
      <c r="B88" s="3" t="s">
        <v>17</v>
      </c>
      <c r="C88" s="12" t="s">
        <v>25</v>
      </c>
      <c r="D88" s="38">
        <v>40</v>
      </c>
      <c r="E88" s="7">
        <v>40</v>
      </c>
      <c r="F88" s="7">
        <v>41.25</v>
      </c>
      <c r="G8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8" s="44" t="str">
        <f>IF(Tabla1[[#This Row],[FILTER_1]]="CONTES","EFECTIVO","NO EFECTIVO")</f>
        <v>EFECTIVO</v>
      </c>
      <c r="I88" s="44" t="str">
        <f>LEFT(Tabla1[[#This Row],[Tipificación]],6)</f>
        <v>CONTES</v>
      </c>
      <c r="J88" s="12" t="str">
        <f>IFERROR(VLOOKUP(Tabla1[[#This Row],[Subtipología]],' '!BU:BV,2,0),"NO EFECTIVA")</f>
        <v>EFECTIVA</v>
      </c>
      <c r="K88" s="12"/>
    </row>
    <row r="89" spans="1:11" x14ac:dyDescent="0.25">
      <c r="A89" s="29">
        <v>45367</v>
      </c>
      <c r="B89" s="3" t="s">
        <v>17</v>
      </c>
      <c r="C89" s="12" t="s">
        <v>26</v>
      </c>
      <c r="D89" s="38">
        <v>36</v>
      </c>
      <c r="E89" s="7">
        <v>30</v>
      </c>
      <c r="F89" s="7">
        <v>41.166666666666664</v>
      </c>
      <c r="G8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89" s="44" t="str">
        <f>IF(Tabla1[[#This Row],[FILTER_1]]="CONTES","EFECTIVO","NO EFECTIVO")</f>
        <v>EFECTIVO</v>
      </c>
      <c r="I89" s="44" t="str">
        <f>LEFT(Tabla1[[#This Row],[Tipificación]],6)</f>
        <v>CONTES</v>
      </c>
      <c r="J89" s="12" t="str">
        <f>IFERROR(VLOOKUP(Tabla1[[#This Row],[Subtipología]],' '!BU:BV,2,0),"NO EFECTIVA")</f>
        <v>EFECTIVA</v>
      </c>
      <c r="K89" s="12"/>
    </row>
    <row r="90" spans="1:11" x14ac:dyDescent="0.25">
      <c r="A90" s="29">
        <v>45367</v>
      </c>
      <c r="B90" s="3" t="s">
        <v>17</v>
      </c>
      <c r="C90" s="12" t="s">
        <v>34</v>
      </c>
      <c r="D90" s="38">
        <v>7147</v>
      </c>
      <c r="G90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90" s="44" t="str">
        <f>IF(Tabla1[[#This Row],[FILTER_1]]="CONTES","EFECTIVO","NO EFECTIVO")</f>
        <v>NO EFECTIVO</v>
      </c>
      <c r="I90" s="44" t="str">
        <f>LEFT(Tabla1[[#This Row],[Tipificación]],6)</f>
        <v>ERROR</v>
      </c>
      <c r="J90" s="12" t="str">
        <f>IFERROR(VLOOKUP(Tabla1[[#This Row],[Subtipología]],' '!BU:BV,2,0),"NO EFECTIVA")</f>
        <v>NO EFECTIVA</v>
      </c>
      <c r="K90" s="12"/>
    </row>
    <row r="91" spans="1:11" x14ac:dyDescent="0.25">
      <c r="A91" s="29">
        <v>45367</v>
      </c>
      <c r="B91" s="3" t="s">
        <v>17</v>
      </c>
      <c r="C91" s="12" t="s">
        <v>24</v>
      </c>
      <c r="D91" s="38">
        <v>7907</v>
      </c>
      <c r="E91" s="7">
        <v>6031</v>
      </c>
      <c r="F91" s="7">
        <v>29.113570254205136</v>
      </c>
      <c r="G9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91" s="44" t="str">
        <f>IF(Tabla1[[#This Row],[FILTER_1]]="CONTES","EFECTIVO","NO EFECTIVO")</f>
        <v>EFECTIVO</v>
      </c>
      <c r="I91" s="44" t="str">
        <f>LEFT(Tabla1[[#This Row],[Tipificación]],6)</f>
        <v>CONTES</v>
      </c>
      <c r="J91" s="12" t="str">
        <f>IFERROR(VLOOKUP(Tabla1[[#This Row],[Subtipología]],' '!BU:BV,2,0),"NO EFECTIVA")</f>
        <v>NO EFECTIVA</v>
      </c>
      <c r="K91" s="12"/>
    </row>
    <row r="92" spans="1:11" x14ac:dyDescent="0.25">
      <c r="A92" s="29">
        <v>45367</v>
      </c>
      <c r="B92" s="3" t="s">
        <v>17</v>
      </c>
      <c r="C92" s="12" t="s">
        <v>27</v>
      </c>
      <c r="D92" s="38">
        <v>17</v>
      </c>
      <c r="E92" s="7">
        <v>17</v>
      </c>
      <c r="F92" s="7">
        <v>59.176470588235297</v>
      </c>
      <c r="G9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92" s="44" t="str">
        <f>IF(Tabla1[[#This Row],[FILTER_1]]="CONTES","EFECTIVO","NO EFECTIVO")</f>
        <v>EFECTIVO</v>
      </c>
      <c r="I92" s="44" t="str">
        <f>LEFT(Tabla1[[#This Row],[Tipificación]],6)</f>
        <v>CONTES</v>
      </c>
      <c r="J92" s="12" t="str">
        <f>IFERROR(VLOOKUP(Tabla1[[#This Row],[Subtipología]],' '!BU:BV,2,0),"NO EFECTIVA")</f>
        <v>EFECTIVA</v>
      </c>
      <c r="K92" s="12"/>
    </row>
    <row r="93" spans="1:11" x14ac:dyDescent="0.25">
      <c r="A93" s="29">
        <v>45367</v>
      </c>
      <c r="B93" s="3" t="s">
        <v>17</v>
      </c>
      <c r="C93" s="12" t="s">
        <v>28</v>
      </c>
      <c r="D93" s="38">
        <v>85</v>
      </c>
      <c r="E93" s="7">
        <v>86</v>
      </c>
      <c r="F93" s="7">
        <v>47.941176470588232</v>
      </c>
      <c r="G9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93" s="44" t="str">
        <f>IF(Tabla1[[#This Row],[FILTER_1]]="CONTES","EFECTIVO","NO EFECTIVO")</f>
        <v>EFECTIVO</v>
      </c>
      <c r="I93" s="44" t="str">
        <f>LEFT(Tabla1[[#This Row],[Tipificación]],6)</f>
        <v>CONTES</v>
      </c>
      <c r="J93" s="12" t="str">
        <f>IFERROR(VLOOKUP(Tabla1[[#This Row],[Subtipología]],' '!BU:BV,2,0),"NO EFECTIVA")</f>
        <v>EFECTIVA</v>
      </c>
      <c r="K93" s="12"/>
    </row>
    <row r="94" spans="1:11" x14ac:dyDescent="0.25">
      <c r="A94" s="29">
        <v>45367</v>
      </c>
      <c r="B94" s="3" t="s">
        <v>17</v>
      </c>
      <c r="C94" s="12" t="s">
        <v>29</v>
      </c>
      <c r="D94" s="38">
        <v>47</v>
      </c>
      <c r="E94" s="7">
        <v>56</v>
      </c>
      <c r="F94" s="7">
        <v>64.872340425531917</v>
      </c>
      <c r="G9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94" s="44" t="str">
        <f>IF(Tabla1[[#This Row],[FILTER_1]]="CONTES","EFECTIVO","NO EFECTIVO")</f>
        <v>EFECTIVO</v>
      </c>
      <c r="I94" s="44" t="str">
        <f>LEFT(Tabla1[[#This Row],[Tipificación]],6)</f>
        <v>CONTES</v>
      </c>
      <c r="J94" s="12" t="str">
        <f>IFERROR(VLOOKUP(Tabla1[[#This Row],[Subtipología]],' '!BU:BV,2,0),"NO EFECTIVA")</f>
        <v>EFECTIVA</v>
      </c>
      <c r="K94" s="12"/>
    </row>
    <row r="95" spans="1:11" x14ac:dyDescent="0.25">
      <c r="A95" s="29">
        <v>45367</v>
      </c>
      <c r="B95" s="3" t="s">
        <v>17</v>
      </c>
      <c r="C95" s="12" t="s">
        <v>30</v>
      </c>
      <c r="D95" s="38">
        <v>39</v>
      </c>
      <c r="E95" s="7">
        <v>24</v>
      </c>
      <c r="F95" s="7">
        <v>37.820512820512818</v>
      </c>
      <c r="G9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95" s="44" t="str">
        <f>IF(Tabla1[[#This Row],[FILTER_1]]="CONTES","EFECTIVO","NO EFECTIVO")</f>
        <v>EFECTIVO</v>
      </c>
      <c r="I95" s="44" t="str">
        <f>LEFT(Tabla1[[#This Row],[Tipificación]],6)</f>
        <v>CONTES</v>
      </c>
      <c r="J95" s="12" t="str">
        <f>IFERROR(VLOOKUP(Tabla1[[#This Row],[Subtipología]],' '!BU:BV,2,0),"NO EFECTIVA")</f>
        <v>EFECTIVA</v>
      </c>
      <c r="K95" s="12"/>
    </row>
    <row r="96" spans="1:11" x14ac:dyDescent="0.25">
      <c r="A96" s="29">
        <v>45367</v>
      </c>
      <c r="B96" s="3" t="s">
        <v>17</v>
      </c>
      <c r="C96" s="12" t="s">
        <v>32</v>
      </c>
      <c r="D96" s="38">
        <v>10</v>
      </c>
      <c r="E96" s="7">
        <v>9</v>
      </c>
      <c r="F96" s="7">
        <v>50.4</v>
      </c>
      <c r="G9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96" s="44" t="str">
        <f>IF(Tabla1[[#This Row],[FILTER_1]]="CONTES","EFECTIVO","NO EFECTIVO")</f>
        <v>EFECTIVO</v>
      </c>
      <c r="I96" s="44" t="str">
        <f>LEFT(Tabla1[[#This Row],[Tipificación]],6)</f>
        <v>CONTES</v>
      </c>
      <c r="J96" s="12" t="str">
        <f>IFERROR(VLOOKUP(Tabla1[[#This Row],[Subtipología]],' '!BU:BV,2,0),"NO EFECTIVA")</f>
        <v>EFECTIVA</v>
      </c>
      <c r="K96" s="12"/>
    </row>
    <row r="97" spans="1:11" x14ac:dyDescent="0.25">
      <c r="A97" s="29">
        <v>45367</v>
      </c>
      <c r="B97" s="3" t="s">
        <v>17</v>
      </c>
      <c r="C97" s="12" t="s">
        <v>31</v>
      </c>
      <c r="D97" s="38">
        <v>83</v>
      </c>
      <c r="E97" s="7">
        <v>95</v>
      </c>
      <c r="F97" s="7">
        <v>63.409638554216869</v>
      </c>
      <c r="G9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97" s="44" t="str">
        <f>IF(Tabla1[[#This Row],[FILTER_1]]="CONTES","EFECTIVO","NO EFECTIVO")</f>
        <v>EFECTIVO</v>
      </c>
      <c r="I97" s="44" t="str">
        <f>LEFT(Tabla1[[#This Row],[Tipificación]],6)</f>
        <v>CONTES</v>
      </c>
      <c r="J97" s="12" t="str">
        <f>IFERROR(VLOOKUP(Tabla1[[#This Row],[Subtipología]],' '!BU:BV,2,0),"NO EFECTIVA")</f>
        <v>EFECTIVA</v>
      </c>
      <c r="K97" s="12"/>
    </row>
    <row r="98" spans="1:11" x14ac:dyDescent="0.25">
      <c r="A98" s="29">
        <v>45367</v>
      </c>
      <c r="B98" s="3" t="s">
        <v>17</v>
      </c>
      <c r="C98" s="12" t="s">
        <v>33</v>
      </c>
      <c r="D98" s="38">
        <v>164</v>
      </c>
      <c r="E98" s="7">
        <v>180</v>
      </c>
      <c r="F98" s="7">
        <v>55.43292682926829</v>
      </c>
      <c r="G9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98" s="44" t="str">
        <f>IF(Tabla1[[#This Row],[FILTER_1]]="CONTES","EFECTIVO","NO EFECTIVO")</f>
        <v>EFECTIVO</v>
      </c>
      <c r="I98" s="44" t="str">
        <f>LEFT(Tabla1[[#This Row],[Tipificación]],6)</f>
        <v>CONTES</v>
      </c>
      <c r="J98" s="12" t="str">
        <f>IFERROR(VLOOKUP(Tabla1[[#This Row],[Subtipología]],' '!BU:BV,2,0),"NO EFECTIVA")</f>
        <v>EFECTIVA</v>
      </c>
      <c r="K98" s="12"/>
    </row>
    <row r="99" spans="1:11" x14ac:dyDescent="0.25">
      <c r="A99" s="29">
        <v>45369</v>
      </c>
      <c r="B99" s="3" t="s">
        <v>17</v>
      </c>
      <c r="C99" s="12" t="s">
        <v>25</v>
      </c>
      <c r="D99" s="38">
        <v>141</v>
      </c>
      <c r="E99" s="7">
        <v>138</v>
      </c>
      <c r="F99" s="7">
        <v>41.638297872340424</v>
      </c>
      <c r="G9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99" s="44" t="str">
        <f>IF(Tabla1[[#This Row],[FILTER_1]]="CONTES","EFECTIVO","NO EFECTIVO")</f>
        <v>EFECTIVO</v>
      </c>
      <c r="I99" s="44" t="str">
        <f>LEFT(Tabla1[[#This Row],[Tipificación]],6)</f>
        <v>CONTES</v>
      </c>
      <c r="J99" s="12" t="str">
        <f>IFERROR(VLOOKUP(Tabla1[[#This Row],[Subtipología]],' '!BU:BV,2,0),"NO EFECTIVA")</f>
        <v>EFECTIVA</v>
      </c>
      <c r="K99" s="12"/>
    </row>
    <row r="100" spans="1:11" x14ac:dyDescent="0.25">
      <c r="A100" s="29">
        <v>45369</v>
      </c>
      <c r="B100" s="3" t="s">
        <v>17</v>
      </c>
      <c r="C100" s="12" t="s">
        <v>26</v>
      </c>
      <c r="D100" s="38">
        <v>151</v>
      </c>
      <c r="E100" s="7">
        <v>139</v>
      </c>
      <c r="F100" s="7">
        <v>38.920529801324506</v>
      </c>
      <c r="G10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00" s="44" t="str">
        <f>IF(Tabla1[[#This Row],[FILTER_1]]="CONTES","EFECTIVO","NO EFECTIVO")</f>
        <v>EFECTIVO</v>
      </c>
      <c r="I100" s="44" t="str">
        <f>LEFT(Tabla1[[#This Row],[Tipificación]],6)</f>
        <v>CONTES</v>
      </c>
      <c r="J100" s="12" t="str">
        <f>IFERROR(VLOOKUP(Tabla1[[#This Row],[Subtipología]],' '!BU:BV,2,0),"NO EFECTIVA")</f>
        <v>EFECTIVA</v>
      </c>
      <c r="K100" s="12"/>
    </row>
    <row r="101" spans="1:11" x14ac:dyDescent="0.25">
      <c r="A101" s="29">
        <v>45369</v>
      </c>
      <c r="B101" s="3" t="s">
        <v>17</v>
      </c>
      <c r="C101" s="12" t="s">
        <v>34</v>
      </c>
      <c r="D101" s="38">
        <v>13810</v>
      </c>
      <c r="G101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01" s="44" t="str">
        <f>IF(Tabla1[[#This Row],[FILTER_1]]="CONTES","EFECTIVO","NO EFECTIVO")</f>
        <v>NO EFECTIVO</v>
      </c>
      <c r="I101" s="44" t="str">
        <f>LEFT(Tabla1[[#This Row],[Tipificación]],6)</f>
        <v>ERROR</v>
      </c>
      <c r="J101" s="12" t="str">
        <f>IFERROR(VLOOKUP(Tabla1[[#This Row],[Subtipología]],' '!BU:BV,2,0),"NO EFECTIVA")</f>
        <v>NO EFECTIVA</v>
      </c>
      <c r="K101" s="12"/>
    </row>
    <row r="102" spans="1:11" x14ac:dyDescent="0.25">
      <c r="A102" s="29">
        <v>45369</v>
      </c>
      <c r="B102" s="3" t="s">
        <v>17</v>
      </c>
      <c r="C102" s="12" t="s">
        <v>24</v>
      </c>
      <c r="D102" s="38">
        <v>6510</v>
      </c>
      <c r="E102" s="7">
        <v>3912</v>
      </c>
      <c r="F102" s="7">
        <v>28.912596006144394</v>
      </c>
      <c r="G10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02" s="44" t="str">
        <f>IF(Tabla1[[#This Row],[FILTER_1]]="CONTES","EFECTIVO","NO EFECTIVO")</f>
        <v>EFECTIVO</v>
      </c>
      <c r="I102" s="44" t="str">
        <f>LEFT(Tabla1[[#This Row],[Tipificación]],6)</f>
        <v>CONTES</v>
      </c>
      <c r="J102" s="12" t="str">
        <f>IFERROR(VLOOKUP(Tabla1[[#This Row],[Subtipología]],' '!BU:BV,2,0),"NO EFECTIVA")</f>
        <v>NO EFECTIVA</v>
      </c>
      <c r="K102" s="12"/>
    </row>
    <row r="103" spans="1:11" x14ac:dyDescent="0.25">
      <c r="A103" s="29">
        <v>45369</v>
      </c>
      <c r="B103" s="3" t="s">
        <v>17</v>
      </c>
      <c r="C103" s="12" t="s">
        <v>27</v>
      </c>
      <c r="D103" s="38">
        <v>20</v>
      </c>
      <c r="E103" s="7">
        <v>21</v>
      </c>
      <c r="F103" s="7">
        <v>59.4</v>
      </c>
      <c r="G10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03" s="44" t="str">
        <f>IF(Tabla1[[#This Row],[FILTER_1]]="CONTES","EFECTIVO","NO EFECTIVO")</f>
        <v>EFECTIVO</v>
      </c>
      <c r="I103" s="44" t="str">
        <f>LEFT(Tabla1[[#This Row],[Tipificación]],6)</f>
        <v>CONTES</v>
      </c>
      <c r="J103" s="12" t="str">
        <f>IFERROR(VLOOKUP(Tabla1[[#This Row],[Subtipología]],' '!BU:BV,2,0),"NO EFECTIVA")</f>
        <v>EFECTIVA</v>
      </c>
      <c r="K103" s="12"/>
    </row>
    <row r="104" spans="1:11" x14ac:dyDescent="0.25">
      <c r="A104" s="29">
        <v>45369</v>
      </c>
      <c r="B104" s="3" t="s">
        <v>17</v>
      </c>
      <c r="C104" s="12" t="s">
        <v>28</v>
      </c>
      <c r="D104" s="38">
        <v>190</v>
      </c>
      <c r="E104" s="7">
        <v>197</v>
      </c>
      <c r="F104" s="7">
        <v>50.794736842105266</v>
      </c>
      <c r="G10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04" s="44" t="str">
        <f>IF(Tabla1[[#This Row],[FILTER_1]]="CONTES","EFECTIVO","NO EFECTIVO")</f>
        <v>EFECTIVO</v>
      </c>
      <c r="I104" s="44" t="str">
        <f>LEFT(Tabla1[[#This Row],[Tipificación]],6)</f>
        <v>CONTES</v>
      </c>
      <c r="J104" s="12" t="str">
        <f>IFERROR(VLOOKUP(Tabla1[[#This Row],[Subtipología]],' '!BU:BV,2,0),"NO EFECTIVA")</f>
        <v>EFECTIVA</v>
      </c>
      <c r="K104" s="12"/>
    </row>
    <row r="105" spans="1:11" x14ac:dyDescent="0.25">
      <c r="A105" s="29">
        <v>45369</v>
      </c>
      <c r="B105" s="3" t="s">
        <v>17</v>
      </c>
      <c r="C105" s="12" t="s">
        <v>29</v>
      </c>
      <c r="D105" s="38">
        <v>145</v>
      </c>
      <c r="E105" s="7">
        <v>166</v>
      </c>
      <c r="F105" s="7">
        <v>63.248275862068965</v>
      </c>
      <c r="G10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05" s="44" t="str">
        <f>IF(Tabla1[[#This Row],[FILTER_1]]="CONTES","EFECTIVO","NO EFECTIVO")</f>
        <v>EFECTIVO</v>
      </c>
      <c r="I105" s="44" t="str">
        <f>LEFT(Tabla1[[#This Row],[Tipificación]],6)</f>
        <v>CONTES</v>
      </c>
      <c r="J105" s="12" t="str">
        <f>IFERROR(VLOOKUP(Tabla1[[#This Row],[Subtipología]],' '!BU:BV,2,0),"NO EFECTIVA")</f>
        <v>EFECTIVA</v>
      </c>
      <c r="K105" s="12"/>
    </row>
    <row r="106" spans="1:11" x14ac:dyDescent="0.25">
      <c r="A106" s="29">
        <v>45369</v>
      </c>
      <c r="B106" s="3" t="s">
        <v>17</v>
      </c>
      <c r="C106" s="12" t="s">
        <v>30</v>
      </c>
      <c r="D106" s="38">
        <v>172</v>
      </c>
      <c r="E106" s="7">
        <v>118</v>
      </c>
      <c r="F106" s="7">
        <v>39.901162790697676</v>
      </c>
      <c r="G10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06" s="44" t="str">
        <f>IF(Tabla1[[#This Row],[FILTER_1]]="CONTES","EFECTIVO","NO EFECTIVO")</f>
        <v>EFECTIVO</v>
      </c>
      <c r="I106" s="44" t="str">
        <f>LEFT(Tabla1[[#This Row],[Tipificación]],6)</f>
        <v>CONTES</v>
      </c>
      <c r="J106" s="12" t="str">
        <f>IFERROR(VLOOKUP(Tabla1[[#This Row],[Subtipología]],' '!BU:BV,2,0),"NO EFECTIVA")</f>
        <v>EFECTIVA</v>
      </c>
      <c r="K106" s="12"/>
    </row>
    <row r="107" spans="1:11" x14ac:dyDescent="0.25">
      <c r="A107" s="29">
        <v>45369</v>
      </c>
      <c r="B107" s="3" t="s">
        <v>17</v>
      </c>
      <c r="C107" s="12" t="s">
        <v>32</v>
      </c>
      <c r="D107" s="38">
        <v>31</v>
      </c>
      <c r="E107" s="7">
        <v>23</v>
      </c>
      <c r="F107" s="7">
        <v>45.548387096774192</v>
      </c>
      <c r="G10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07" s="44" t="str">
        <f>IF(Tabla1[[#This Row],[FILTER_1]]="CONTES","EFECTIVO","NO EFECTIVO")</f>
        <v>EFECTIVO</v>
      </c>
      <c r="I107" s="44" t="str">
        <f>LEFT(Tabla1[[#This Row],[Tipificación]],6)</f>
        <v>CONTES</v>
      </c>
      <c r="J107" s="12" t="str">
        <f>IFERROR(VLOOKUP(Tabla1[[#This Row],[Subtipología]],' '!BU:BV,2,0),"NO EFECTIVA")</f>
        <v>EFECTIVA</v>
      </c>
      <c r="K107" s="12"/>
    </row>
    <row r="108" spans="1:11" x14ac:dyDescent="0.25">
      <c r="A108" s="29">
        <v>45369</v>
      </c>
      <c r="B108" s="3" t="s">
        <v>17</v>
      </c>
      <c r="C108" s="12" t="s">
        <v>31</v>
      </c>
      <c r="D108" s="38">
        <v>382</v>
      </c>
      <c r="E108" s="7">
        <v>416</v>
      </c>
      <c r="F108" s="7">
        <v>61.633507853403138</v>
      </c>
      <c r="G10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08" s="44" t="str">
        <f>IF(Tabla1[[#This Row],[FILTER_1]]="CONTES","EFECTIVO","NO EFECTIVO")</f>
        <v>EFECTIVO</v>
      </c>
      <c r="I108" s="44" t="str">
        <f>LEFT(Tabla1[[#This Row],[Tipificación]],6)</f>
        <v>CONTES</v>
      </c>
      <c r="J108" s="12" t="str">
        <f>IFERROR(VLOOKUP(Tabla1[[#This Row],[Subtipología]],' '!BU:BV,2,0),"NO EFECTIVA")</f>
        <v>EFECTIVA</v>
      </c>
      <c r="K108" s="12"/>
    </row>
    <row r="109" spans="1:11" x14ac:dyDescent="0.25">
      <c r="A109" s="29">
        <v>45369</v>
      </c>
      <c r="B109" s="3" t="s">
        <v>17</v>
      </c>
      <c r="C109" s="12" t="s">
        <v>33</v>
      </c>
      <c r="D109" s="38">
        <v>595</v>
      </c>
      <c r="E109" s="7">
        <v>584</v>
      </c>
      <c r="F109" s="7">
        <v>49.5781512605042</v>
      </c>
      <c r="G10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09" s="44" t="str">
        <f>IF(Tabla1[[#This Row],[FILTER_1]]="CONTES","EFECTIVO","NO EFECTIVO")</f>
        <v>EFECTIVO</v>
      </c>
      <c r="I109" s="44" t="str">
        <f>LEFT(Tabla1[[#This Row],[Tipificación]],6)</f>
        <v>CONTES</v>
      </c>
      <c r="J109" s="12" t="str">
        <f>IFERROR(VLOOKUP(Tabla1[[#This Row],[Subtipología]],' '!BU:BV,2,0),"NO EFECTIVA")</f>
        <v>EFECTIVA</v>
      </c>
      <c r="K109" s="12"/>
    </row>
    <row r="110" spans="1:11" x14ac:dyDescent="0.25">
      <c r="A110" s="29">
        <v>45370</v>
      </c>
      <c r="B110" s="3" t="s">
        <v>17</v>
      </c>
      <c r="C110" s="12" t="s">
        <v>25</v>
      </c>
      <c r="D110" s="38">
        <v>293</v>
      </c>
      <c r="E110" s="7">
        <v>294</v>
      </c>
      <c r="F110" s="7">
        <v>41.907849829351534</v>
      </c>
      <c r="G11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0" s="44" t="str">
        <f>IF(Tabla1[[#This Row],[FILTER_1]]="CONTES","EFECTIVO","NO EFECTIVO")</f>
        <v>EFECTIVO</v>
      </c>
      <c r="I110" s="44" t="str">
        <f>LEFT(Tabla1[[#This Row],[Tipificación]],6)</f>
        <v>CONTES</v>
      </c>
      <c r="J110" s="12" t="str">
        <f>IFERROR(VLOOKUP(Tabla1[[#This Row],[Subtipología]],' '!BU:BV,2,0),"NO EFECTIVA")</f>
        <v>EFECTIVA</v>
      </c>
      <c r="K110" s="12"/>
    </row>
    <row r="111" spans="1:11" x14ac:dyDescent="0.25">
      <c r="A111" s="29">
        <v>45370</v>
      </c>
      <c r="B111" s="3" t="s">
        <v>17</v>
      </c>
      <c r="C111" s="12" t="s">
        <v>26</v>
      </c>
      <c r="D111" s="38">
        <v>317</v>
      </c>
      <c r="E111" s="7">
        <v>299</v>
      </c>
      <c r="F111" s="7">
        <v>39.037854889589909</v>
      </c>
      <c r="G11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1" s="44" t="str">
        <f>IF(Tabla1[[#This Row],[FILTER_1]]="CONTES","EFECTIVO","NO EFECTIVO")</f>
        <v>EFECTIVO</v>
      </c>
      <c r="I111" s="44" t="str">
        <f>LEFT(Tabla1[[#This Row],[Tipificación]],6)</f>
        <v>CONTES</v>
      </c>
      <c r="J111" s="12" t="str">
        <f>IFERROR(VLOOKUP(Tabla1[[#This Row],[Subtipología]],' '!BU:BV,2,0),"NO EFECTIVA")</f>
        <v>EFECTIVA</v>
      </c>
      <c r="K111" s="12"/>
    </row>
    <row r="112" spans="1:11" x14ac:dyDescent="0.25">
      <c r="A112" s="29">
        <v>45370</v>
      </c>
      <c r="B112" s="3" t="s">
        <v>17</v>
      </c>
      <c r="C112" s="12" t="s">
        <v>34</v>
      </c>
      <c r="D112" s="38">
        <v>26285</v>
      </c>
      <c r="G112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12" s="44" t="str">
        <f>IF(Tabla1[[#This Row],[FILTER_1]]="CONTES","EFECTIVO","NO EFECTIVO")</f>
        <v>NO EFECTIVO</v>
      </c>
      <c r="I112" s="44" t="str">
        <f>LEFT(Tabla1[[#This Row],[Tipificación]],6)</f>
        <v>ERROR</v>
      </c>
      <c r="J112" s="12" t="str">
        <f>IFERROR(VLOOKUP(Tabla1[[#This Row],[Subtipología]],' '!BU:BV,2,0),"NO EFECTIVA")</f>
        <v>NO EFECTIVA</v>
      </c>
      <c r="K112" s="12"/>
    </row>
    <row r="113" spans="1:11" x14ac:dyDescent="0.25">
      <c r="A113" s="29">
        <v>45370</v>
      </c>
      <c r="B113" s="3" t="s">
        <v>17</v>
      </c>
      <c r="C113" s="12" t="s">
        <v>24</v>
      </c>
      <c r="D113" s="38">
        <v>14745</v>
      </c>
      <c r="E113" s="7">
        <v>10647</v>
      </c>
      <c r="F113" s="7">
        <v>32.260427263479144</v>
      </c>
      <c r="G11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13" s="44" t="str">
        <f>IF(Tabla1[[#This Row],[FILTER_1]]="CONTES","EFECTIVO","NO EFECTIVO")</f>
        <v>EFECTIVO</v>
      </c>
      <c r="I113" s="44" t="str">
        <f>LEFT(Tabla1[[#This Row],[Tipificación]],6)</f>
        <v>CONTES</v>
      </c>
      <c r="J113" s="12" t="str">
        <f>IFERROR(VLOOKUP(Tabla1[[#This Row],[Subtipología]],' '!BU:BV,2,0),"NO EFECTIVA")</f>
        <v>NO EFECTIVA</v>
      </c>
      <c r="K113" s="12"/>
    </row>
    <row r="114" spans="1:11" x14ac:dyDescent="0.25">
      <c r="A114" s="29">
        <v>45370</v>
      </c>
      <c r="B114" s="3" t="s">
        <v>17</v>
      </c>
      <c r="C114" s="12" t="s">
        <v>27</v>
      </c>
      <c r="D114" s="38">
        <v>66</v>
      </c>
      <c r="E114" s="7">
        <v>77</v>
      </c>
      <c r="F114" s="7">
        <v>64.575757575757578</v>
      </c>
      <c r="G11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4" s="44" t="str">
        <f>IF(Tabla1[[#This Row],[FILTER_1]]="CONTES","EFECTIVO","NO EFECTIVO")</f>
        <v>EFECTIVO</v>
      </c>
      <c r="I114" s="44" t="str">
        <f>LEFT(Tabla1[[#This Row],[Tipificación]],6)</f>
        <v>CONTES</v>
      </c>
      <c r="J114" s="12" t="str">
        <f>IFERROR(VLOOKUP(Tabla1[[#This Row],[Subtipología]],' '!BU:BV,2,0),"NO EFECTIVA")</f>
        <v>EFECTIVA</v>
      </c>
      <c r="K114" s="12"/>
    </row>
    <row r="115" spans="1:11" x14ac:dyDescent="0.25">
      <c r="A115" s="29">
        <v>45370</v>
      </c>
      <c r="B115" s="3" t="s">
        <v>17</v>
      </c>
      <c r="C115" s="12" t="s">
        <v>28</v>
      </c>
      <c r="D115" s="38">
        <v>501</v>
      </c>
      <c r="E115" s="7">
        <v>520</v>
      </c>
      <c r="F115" s="7">
        <v>51.60878243512974</v>
      </c>
      <c r="G11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5" s="44" t="str">
        <f>IF(Tabla1[[#This Row],[FILTER_1]]="CONTES","EFECTIVO","NO EFECTIVO")</f>
        <v>EFECTIVO</v>
      </c>
      <c r="I115" s="44" t="str">
        <f>LEFT(Tabla1[[#This Row],[Tipificación]],6)</f>
        <v>CONTES</v>
      </c>
      <c r="J115" s="12" t="str">
        <f>IFERROR(VLOOKUP(Tabla1[[#This Row],[Subtipología]],' '!BU:BV,2,0),"NO EFECTIVA")</f>
        <v>EFECTIVA</v>
      </c>
      <c r="K115" s="12"/>
    </row>
    <row r="116" spans="1:11" x14ac:dyDescent="0.25">
      <c r="A116" s="29">
        <v>45370</v>
      </c>
      <c r="B116" s="3" t="s">
        <v>17</v>
      </c>
      <c r="C116" s="12" t="s">
        <v>29</v>
      </c>
      <c r="D116" s="38">
        <v>312</v>
      </c>
      <c r="E116" s="7">
        <v>360</v>
      </c>
      <c r="F116" s="7">
        <v>63.721153846153847</v>
      </c>
      <c r="G11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6" s="44" t="str">
        <f>IF(Tabla1[[#This Row],[FILTER_1]]="CONTES","EFECTIVO","NO EFECTIVO")</f>
        <v>EFECTIVO</v>
      </c>
      <c r="I116" s="44" t="str">
        <f>LEFT(Tabla1[[#This Row],[Tipificación]],6)</f>
        <v>CONTES</v>
      </c>
      <c r="J116" s="12" t="str">
        <f>IFERROR(VLOOKUP(Tabla1[[#This Row],[Subtipología]],' '!BU:BV,2,0),"NO EFECTIVA")</f>
        <v>EFECTIVA</v>
      </c>
      <c r="K116" s="12"/>
    </row>
    <row r="117" spans="1:11" x14ac:dyDescent="0.25">
      <c r="A117" s="29">
        <v>45370</v>
      </c>
      <c r="B117" s="3" t="s">
        <v>17</v>
      </c>
      <c r="C117" s="12" t="s">
        <v>30</v>
      </c>
      <c r="D117" s="38">
        <v>366</v>
      </c>
      <c r="E117" s="7">
        <v>341</v>
      </c>
      <c r="F117" s="7">
        <v>51.240437158469945</v>
      </c>
      <c r="G11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17" s="44" t="str">
        <f>IF(Tabla1[[#This Row],[FILTER_1]]="CONTES","EFECTIVO","NO EFECTIVO")</f>
        <v>EFECTIVO</v>
      </c>
      <c r="I117" s="44" t="str">
        <f>LEFT(Tabla1[[#This Row],[Tipificación]],6)</f>
        <v>CONTES</v>
      </c>
      <c r="J117" s="12" t="str">
        <f>IFERROR(VLOOKUP(Tabla1[[#This Row],[Subtipología]],' '!BU:BV,2,0),"NO EFECTIVA")</f>
        <v>EFECTIVA</v>
      </c>
      <c r="K117" s="12"/>
    </row>
    <row r="118" spans="1:11" x14ac:dyDescent="0.25">
      <c r="A118" s="29">
        <v>45370</v>
      </c>
      <c r="B118" s="3" t="s">
        <v>17</v>
      </c>
      <c r="C118" s="12" t="s">
        <v>32</v>
      </c>
      <c r="D118" s="38">
        <v>55</v>
      </c>
      <c r="E118" s="7">
        <v>59</v>
      </c>
      <c r="F118" s="7">
        <v>57.218181818181819</v>
      </c>
      <c r="G11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18" s="44" t="str">
        <f>IF(Tabla1[[#This Row],[FILTER_1]]="CONTES","EFECTIVO","NO EFECTIVO")</f>
        <v>EFECTIVO</v>
      </c>
      <c r="I118" s="44" t="str">
        <f>LEFT(Tabla1[[#This Row],[Tipificación]],6)</f>
        <v>CONTES</v>
      </c>
      <c r="J118" s="12" t="str">
        <f>IFERROR(VLOOKUP(Tabla1[[#This Row],[Subtipología]],' '!BU:BV,2,0),"NO EFECTIVA")</f>
        <v>EFECTIVA</v>
      </c>
      <c r="K118" s="12"/>
    </row>
    <row r="119" spans="1:11" x14ac:dyDescent="0.25">
      <c r="A119" s="29">
        <v>45370</v>
      </c>
      <c r="B119" s="3" t="s">
        <v>17</v>
      </c>
      <c r="C119" s="12" t="s">
        <v>31</v>
      </c>
      <c r="D119" s="38">
        <v>900</v>
      </c>
      <c r="E119" s="7">
        <v>1026</v>
      </c>
      <c r="F119" s="7">
        <v>63.426666666666669</v>
      </c>
      <c r="G11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19" s="44" t="str">
        <f>IF(Tabla1[[#This Row],[FILTER_1]]="CONTES","EFECTIVO","NO EFECTIVO")</f>
        <v>EFECTIVO</v>
      </c>
      <c r="I119" s="44" t="str">
        <f>LEFT(Tabla1[[#This Row],[Tipificación]],6)</f>
        <v>CONTES</v>
      </c>
      <c r="J119" s="12" t="str">
        <f>IFERROR(VLOOKUP(Tabla1[[#This Row],[Subtipología]],' '!BU:BV,2,0),"NO EFECTIVA")</f>
        <v>EFECTIVA</v>
      </c>
      <c r="K119" s="12"/>
    </row>
    <row r="120" spans="1:11" x14ac:dyDescent="0.25">
      <c r="A120" s="29">
        <v>45370</v>
      </c>
      <c r="B120" s="3" t="s">
        <v>17</v>
      </c>
      <c r="C120" s="12" t="s">
        <v>33</v>
      </c>
      <c r="D120" s="38">
        <v>1382</v>
      </c>
      <c r="E120" s="7">
        <v>1604</v>
      </c>
      <c r="F120" s="7">
        <v>59.212011577424022</v>
      </c>
      <c r="G12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20" s="44" t="str">
        <f>IF(Tabla1[[#This Row],[FILTER_1]]="CONTES","EFECTIVO","NO EFECTIVO")</f>
        <v>EFECTIVO</v>
      </c>
      <c r="I120" s="44" t="str">
        <f>LEFT(Tabla1[[#This Row],[Tipificación]],6)</f>
        <v>CONTES</v>
      </c>
      <c r="J120" s="12" t="str">
        <f>IFERROR(VLOOKUP(Tabla1[[#This Row],[Subtipología]],' '!BU:BV,2,0),"NO EFECTIVA")</f>
        <v>EFECTIVA</v>
      </c>
      <c r="K120" s="12"/>
    </row>
    <row r="121" spans="1:11" x14ac:dyDescent="0.25">
      <c r="A121" s="29">
        <v>45371</v>
      </c>
      <c r="B121" s="3" t="s">
        <v>17</v>
      </c>
      <c r="C121" s="12" t="s">
        <v>25</v>
      </c>
      <c r="D121" s="38">
        <v>184</v>
      </c>
      <c r="E121" s="7">
        <v>190</v>
      </c>
      <c r="F121" s="7">
        <v>41.646739130434781</v>
      </c>
      <c r="G12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21" s="44" t="str">
        <f>IF(Tabla1[[#This Row],[FILTER_1]]="CONTES","EFECTIVO","NO EFECTIVO")</f>
        <v>EFECTIVO</v>
      </c>
      <c r="I121" s="44" t="str">
        <f>LEFT(Tabla1[[#This Row],[Tipificación]],6)</f>
        <v>CONTES</v>
      </c>
      <c r="J121" s="12" t="str">
        <f>IFERROR(VLOOKUP(Tabla1[[#This Row],[Subtipología]],' '!BU:BV,2,0),"NO EFECTIVA")</f>
        <v>EFECTIVA</v>
      </c>
      <c r="K121" s="12"/>
    </row>
    <row r="122" spans="1:11" x14ac:dyDescent="0.25">
      <c r="A122" s="29">
        <v>45371</v>
      </c>
      <c r="B122" s="3" t="s">
        <v>17</v>
      </c>
      <c r="C122" s="12" t="s">
        <v>26</v>
      </c>
      <c r="D122" s="38">
        <v>297</v>
      </c>
      <c r="E122" s="7">
        <v>269</v>
      </c>
      <c r="F122" s="7">
        <v>38.168350168350166</v>
      </c>
      <c r="G12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22" s="44" t="str">
        <f>IF(Tabla1[[#This Row],[FILTER_1]]="CONTES","EFECTIVO","NO EFECTIVO")</f>
        <v>EFECTIVO</v>
      </c>
      <c r="I122" s="44" t="str">
        <f>LEFT(Tabla1[[#This Row],[Tipificación]],6)</f>
        <v>CONTES</v>
      </c>
      <c r="J122" s="12" t="str">
        <f>IFERROR(VLOOKUP(Tabla1[[#This Row],[Subtipología]],' '!BU:BV,2,0),"NO EFECTIVA")</f>
        <v>EFECTIVA</v>
      </c>
      <c r="K122" s="12"/>
    </row>
    <row r="123" spans="1:11" x14ac:dyDescent="0.25">
      <c r="A123" s="29">
        <v>45371</v>
      </c>
      <c r="B123" s="3" t="s">
        <v>17</v>
      </c>
      <c r="C123" s="12" t="s">
        <v>34</v>
      </c>
      <c r="D123" s="38">
        <v>16200</v>
      </c>
      <c r="G123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23" s="44" t="str">
        <f>IF(Tabla1[[#This Row],[FILTER_1]]="CONTES","EFECTIVO","NO EFECTIVO")</f>
        <v>NO EFECTIVO</v>
      </c>
      <c r="I123" s="44" t="str">
        <f>LEFT(Tabla1[[#This Row],[Tipificación]],6)</f>
        <v>ERROR</v>
      </c>
      <c r="J123" s="12" t="str">
        <f>IFERROR(VLOOKUP(Tabla1[[#This Row],[Subtipología]],' '!BU:BV,2,0),"NO EFECTIVA")</f>
        <v>NO EFECTIVA</v>
      </c>
      <c r="K123" s="12"/>
    </row>
    <row r="124" spans="1:11" x14ac:dyDescent="0.25">
      <c r="A124" s="29">
        <v>45371</v>
      </c>
      <c r="B124" s="3" t="s">
        <v>17</v>
      </c>
      <c r="C124" s="12" t="s">
        <v>24</v>
      </c>
      <c r="D124" s="38">
        <v>6179</v>
      </c>
      <c r="E124" s="7">
        <v>1550</v>
      </c>
      <c r="F124" s="7">
        <v>21.762421103738468</v>
      </c>
      <c r="G12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24" s="44" t="str">
        <f>IF(Tabla1[[#This Row],[FILTER_1]]="CONTES","EFECTIVO","NO EFECTIVO")</f>
        <v>EFECTIVO</v>
      </c>
      <c r="I124" s="44" t="str">
        <f>LEFT(Tabla1[[#This Row],[Tipificación]],6)</f>
        <v>CONTES</v>
      </c>
      <c r="J124" s="12" t="str">
        <f>IFERROR(VLOOKUP(Tabla1[[#This Row],[Subtipología]],' '!BU:BV,2,0),"NO EFECTIVA")</f>
        <v>NO EFECTIVA</v>
      </c>
      <c r="K124" s="12"/>
    </row>
    <row r="125" spans="1:11" x14ac:dyDescent="0.25">
      <c r="A125" s="29">
        <v>45371</v>
      </c>
      <c r="B125" s="3" t="s">
        <v>17</v>
      </c>
      <c r="C125" s="12" t="s">
        <v>27</v>
      </c>
      <c r="D125" s="38">
        <v>42</v>
      </c>
      <c r="E125" s="7">
        <v>47</v>
      </c>
      <c r="F125" s="7">
        <v>62.928571428571431</v>
      </c>
      <c r="G12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25" s="44" t="str">
        <f>IF(Tabla1[[#This Row],[FILTER_1]]="CONTES","EFECTIVO","NO EFECTIVO")</f>
        <v>EFECTIVO</v>
      </c>
      <c r="I125" s="44" t="str">
        <f>LEFT(Tabla1[[#This Row],[Tipificación]],6)</f>
        <v>CONTES</v>
      </c>
      <c r="J125" s="12" t="str">
        <f>IFERROR(VLOOKUP(Tabla1[[#This Row],[Subtipología]],' '!BU:BV,2,0),"NO EFECTIVA")</f>
        <v>EFECTIVA</v>
      </c>
      <c r="K125" s="12"/>
    </row>
    <row r="126" spans="1:11" x14ac:dyDescent="0.25">
      <c r="A126" s="29">
        <v>45371</v>
      </c>
      <c r="B126" s="3" t="s">
        <v>17</v>
      </c>
      <c r="C126" s="12" t="s">
        <v>28</v>
      </c>
      <c r="D126" s="38">
        <v>494</v>
      </c>
      <c r="E126" s="7">
        <v>510</v>
      </c>
      <c r="F126" s="7">
        <v>49.109311740890689</v>
      </c>
      <c r="G12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26" s="44" t="str">
        <f>IF(Tabla1[[#This Row],[FILTER_1]]="CONTES","EFECTIVO","NO EFECTIVO")</f>
        <v>EFECTIVO</v>
      </c>
      <c r="I126" s="44" t="str">
        <f>LEFT(Tabla1[[#This Row],[Tipificación]],6)</f>
        <v>CONTES</v>
      </c>
      <c r="J126" s="12" t="str">
        <f>IFERROR(VLOOKUP(Tabla1[[#This Row],[Subtipología]],' '!BU:BV,2,0),"NO EFECTIVA")</f>
        <v>EFECTIVA</v>
      </c>
      <c r="K126" s="12"/>
    </row>
    <row r="127" spans="1:11" x14ac:dyDescent="0.25">
      <c r="A127" s="29">
        <v>45371</v>
      </c>
      <c r="B127" s="3" t="s">
        <v>17</v>
      </c>
      <c r="C127" s="12" t="s">
        <v>29</v>
      </c>
      <c r="D127" s="38">
        <v>202</v>
      </c>
      <c r="E127" s="7">
        <v>224</v>
      </c>
      <c r="F127" s="7">
        <v>60.193069306930695</v>
      </c>
      <c r="G12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27" s="44" t="str">
        <f>IF(Tabla1[[#This Row],[FILTER_1]]="CONTES","EFECTIVO","NO EFECTIVO")</f>
        <v>EFECTIVO</v>
      </c>
      <c r="I127" s="44" t="str">
        <f>LEFT(Tabla1[[#This Row],[Tipificación]],6)</f>
        <v>CONTES</v>
      </c>
      <c r="J127" s="12" t="str">
        <f>IFERROR(VLOOKUP(Tabla1[[#This Row],[Subtipología]],' '!BU:BV,2,0),"NO EFECTIVA")</f>
        <v>EFECTIVA</v>
      </c>
      <c r="K127" s="12"/>
    </row>
    <row r="128" spans="1:11" x14ac:dyDescent="0.25">
      <c r="A128" s="29">
        <v>45371</v>
      </c>
      <c r="B128" s="3" t="s">
        <v>17</v>
      </c>
      <c r="C128" s="12" t="s">
        <v>30</v>
      </c>
      <c r="D128" s="38">
        <v>211</v>
      </c>
      <c r="E128" s="7">
        <v>101</v>
      </c>
      <c r="F128" s="7">
        <v>33.625592417061611</v>
      </c>
      <c r="G12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28" s="44" t="str">
        <f>IF(Tabla1[[#This Row],[FILTER_1]]="CONTES","EFECTIVO","NO EFECTIVO")</f>
        <v>EFECTIVO</v>
      </c>
      <c r="I128" s="44" t="str">
        <f>LEFT(Tabla1[[#This Row],[Tipificación]],6)</f>
        <v>CONTES</v>
      </c>
      <c r="J128" s="12" t="str">
        <f>IFERROR(VLOOKUP(Tabla1[[#This Row],[Subtipología]],' '!BU:BV,2,0),"NO EFECTIVA")</f>
        <v>EFECTIVA</v>
      </c>
      <c r="K128" s="12"/>
    </row>
    <row r="129" spans="1:11" x14ac:dyDescent="0.25">
      <c r="A129" s="29">
        <v>45371</v>
      </c>
      <c r="B129" s="3" t="s">
        <v>17</v>
      </c>
      <c r="C129" s="12" t="s">
        <v>32</v>
      </c>
      <c r="D129" s="38">
        <v>37</v>
      </c>
      <c r="E129" s="7">
        <v>34</v>
      </c>
      <c r="F129" s="7">
        <v>51.621621621621621</v>
      </c>
      <c r="G12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29" s="44" t="str">
        <f>IF(Tabla1[[#This Row],[FILTER_1]]="CONTES","EFECTIVO","NO EFECTIVO")</f>
        <v>EFECTIVO</v>
      </c>
      <c r="I129" s="44" t="str">
        <f>LEFT(Tabla1[[#This Row],[Tipificación]],6)</f>
        <v>CONTES</v>
      </c>
      <c r="J129" s="12" t="str">
        <f>IFERROR(VLOOKUP(Tabla1[[#This Row],[Subtipología]],' '!BU:BV,2,0),"NO EFECTIVA")</f>
        <v>EFECTIVA</v>
      </c>
      <c r="K129" s="12"/>
    </row>
    <row r="130" spans="1:11" x14ac:dyDescent="0.25">
      <c r="A130" s="29">
        <v>45371</v>
      </c>
      <c r="B130" s="3" t="s">
        <v>17</v>
      </c>
      <c r="C130" s="12" t="s">
        <v>31</v>
      </c>
      <c r="D130" s="38">
        <v>475</v>
      </c>
      <c r="E130" s="7">
        <v>531</v>
      </c>
      <c r="F130" s="7">
        <v>61.044210526315787</v>
      </c>
      <c r="G13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0" s="44" t="str">
        <f>IF(Tabla1[[#This Row],[FILTER_1]]="CONTES","EFECTIVO","NO EFECTIVO")</f>
        <v>EFECTIVO</v>
      </c>
      <c r="I130" s="44" t="str">
        <f>LEFT(Tabla1[[#This Row],[Tipificación]],6)</f>
        <v>CONTES</v>
      </c>
      <c r="J130" s="12" t="str">
        <f>IFERROR(VLOOKUP(Tabla1[[#This Row],[Subtipología]],' '!BU:BV,2,0),"NO EFECTIVA")</f>
        <v>EFECTIVA</v>
      </c>
      <c r="K130" s="12"/>
    </row>
    <row r="131" spans="1:11" x14ac:dyDescent="0.25">
      <c r="A131" s="29">
        <v>45371</v>
      </c>
      <c r="B131" s="3" t="s">
        <v>17</v>
      </c>
      <c r="C131" s="12" t="s">
        <v>33</v>
      </c>
      <c r="D131" s="38">
        <v>790</v>
      </c>
      <c r="E131" s="7">
        <v>683</v>
      </c>
      <c r="F131" s="7">
        <v>45.575949367088604</v>
      </c>
      <c r="G13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31" s="44" t="str">
        <f>IF(Tabla1[[#This Row],[FILTER_1]]="CONTES","EFECTIVO","NO EFECTIVO")</f>
        <v>EFECTIVO</v>
      </c>
      <c r="I131" s="44" t="str">
        <f>LEFT(Tabla1[[#This Row],[Tipificación]],6)</f>
        <v>CONTES</v>
      </c>
      <c r="J131" s="12" t="str">
        <f>IFERROR(VLOOKUP(Tabla1[[#This Row],[Subtipología]],' '!BU:BV,2,0),"NO EFECTIVA")</f>
        <v>EFECTIVA</v>
      </c>
      <c r="K131" s="12"/>
    </row>
    <row r="132" spans="1:11" x14ac:dyDescent="0.25">
      <c r="A132" s="29">
        <v>45372</v>
      </c>
      <c r="B132" s="3" t="s">
        <v>17</v>
      </c>
      <c r="C132" s="12" t="s">
        <v>25</v>
      </c>
      <c r="D132" s="38">
        <v>402</v>
      </c>
      <c r="E132" s="7">
        <v>399</v>
      </c>
      <c r="F132" s="7">
        <v>41.10696517412935</v>
      </c>
      <c r="G13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2" s="44" t="str">
        <f>IF(Tabla1[[#This Row],[FILTER_1]]="CONTES","EFECTIVO","NO EFECTIVO")</f>
        <v>EFECTIVO</v>
      </c>
      <c r="I132" s="44" t="str">
        <f>LEFT(Tabla1[[#This Row],[Tipificación]],6)</f>
        <v>CONTES</v>
      </c>
      <c r="J132" s="12" t="str">
        <f>IFERROR(VLOOKUP(Tabla1[[#This Row],[Subtipología]],' '!BU:BV,2,0),"NO EFECTIVA")</f>
        <v>EFECTIVA</v>
      </c>
      <c r="K132" s="12"/>
    </row>
    <row r="133" spans="1:11" x14ac:dyDescent="0.25">
      <c r="A133" s="29">
        <v>45372</v>
      </c>
      <c r="B133" s="3" t="s">
        <v>17</v>
      </c>
      <c r="C133" s="12" t="s">
        <v>26</v>
      </c>
      <c r="D133" s="38">
        <v>395</v>
      </c>
      <c r="E133" s="7">
        <v>361</v>
      </c>
      <c r="F133" s="7">
        <v>38.797468354430379</v>
      </c>
      <c r="G13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3" s="44" t="str">
        <f>IF(Tabla1[[#This Row],[FILTER_1]]="CONTES","EFECTIVO","NO EFECTIVO")</f>
        <v>EFECTIVO</v>
      </c>
      <c r="I133" s="44" t="str">
        <f>LEFT(Tabla1[[#This Row],[Tipificación]],6)</f>
        <v>CONTES</v>
      </c>
      <c r="J133" s="12" t="str">
        <f>IFERROR(VLOOKUP(Tabla1[[#This Row],[Subtipología]],' '!BU:BV,2,0),"NO EFECTIVA")</f>
        <v>EFECTIVA</v>
      </c>
      <c r="K133" s="12"/>
    </row>
    <row r="134" spans="1:11" x14ac:dyDescent="0.25">
      <c r="A134" s="29">
        <v>45372</v>
      </c>
      <c r="B134" s="3" t="s">
        <v>17</v>
      </c>
      <c r="C134" s="12" t="s">
        <v>34</v>
      </c>
      <c r="D134" s="38">
        <v>4070</v>
      </c>
      <c r="G134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34" s="44" t="str">
        <f>IF(Tabla1[[#This Row],[FILTER_1]]="CONTES","EFECTIVO","NO EFECTIVO")</f>
        <v>NO EFECTIVO</v>
      </c>
      <c r="I134" s="44" t="str">
        <f>LEFT(Tabla1[[#This Row],[Tipificación]],6)</f>
        <v>ERROR</v>
      </c>
      <c r="J134" s="12" t="str">
        <f>IFERROR(VLOOKUP(Tabla1[[#This Row],[Subtipología]],' '!BU:BV,2,0),"NO EFECTIVA")</f>
        <v>NO EFECTIVA</v>
      </c>
      <c r="K134" s="12"/>
    </row>
    <row r="135" spans="1:11" x14ac:dyDescent="0.25">
      <c r="A135" s="29">
        <v>45372</v>
      </c>
      <c r="B135" s="3" t="s">
        <v>17</v>
      </c>
      <c r="C135" s="12" t="s">
        <v>24</v>
      </c>
      <c r="D135" s="38">
        <v>9352</v>
      </c>
      <c r="E135" s="7">
        <v>1546</v>
      </c>
      <c r="F135" s="7">
        <v>18.519888793840888</v>
      </c>
      <c r="G13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35" s="44" t="str">
        <f>IF(Tabla1[[#This Row],[FILTER_1]]="CONTES","EFECTIVO","NO EFECTIVO")</f>
        <v>EFECTIVO</v>
      </c>
      <c r="I135" s="44" t="str">
        <f>LEFT(Tabla1[[#This Row],[Tipificación]],6)</f>
        <v>CONTES</v>
      </c>
      <c r="J135" s="12" t="str">
        <f>IFERROR(VLOOKUP(Tabla1[[#This Row],[Subtipología]],' '!BU:BV,2,0),"NO EFECTIVA")</f>
        <v>NO EFECTIVA</v>
      </c>
      <c r="K135" s="12"/>
    </row>
    <row r="136" spans="1:11" x14ac:dyDescent="0.25">
      <c r="A136" s="29">
        <v>45372</v>
      </c>
      <c r="B136" s="3" t="s">
        <v>17</v>
      </c>
      <c r="C136" s="12" t="s">
        <v>27</v>
      </c>
      <c r="D136" s="38">
        <v>137</v>
      </c>
      <c r="E136" s="7">
        <v>154</v>
      </c>
      <c r="F136" s="7">
        <v>63.21897810218978</v>
      </c>
      <c r="G13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6" s="44" t="str">
        <f>IF(Tabla1[[#This Row],[FILTER_1]]="CONTES","EFECTIVO","NO EFECTIVO")</f>
        <v>EFECTIVO</v>
      </c>
      <c r="I136" s="44" t="str">
        <f>LEFT(Tabla1[[#This Row],[Tipificación]],6)</f>
        <v>CONTES</v>
      </c>
      <c r="J136" s="12" t="str">
        <f>IFERROR(VLOOKUP(Tabla1[[#This Row],[Subtipología]],' '!BU:BV,2,0),"NO EFECTIVA")</f>
        <v>EFECTIVA</v>
      </c>
      <c r="K136" s="12"/>
    </row>
    <row r="137" spans="1:11" x14ac:dyDescent="0.25">
      <c r="A137" s="29">
        <v>45372</v>
      </c>
      <c r="B137" s="3" t="s">
        <v>17</v>
      </c>
      <c r="C137" s="12" t="s">
        <v>28</v>
      </c>
      <c r="D137" s="38">
        <v>711</v>
      </c>
      <c r="E137" s="7">
        <v>732</v>
      </c>
      <c r="F137" s="7">
        <v>50.611814345991561</v>
      </c>
      <c r="G13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7" s="44" t="str">
        <f>IF(Tabla1[[#This Row],[FILTER_1]]="CONTES","EFECTIVO","NO EFECTIVO")</f>
        <v>EFECTIVO</v>
      </c>
      <c r="I137" s="44" t="str">
        <f>LEFT(Tabla1[[#This Row],[Tipificación]],6)</f>
        <v>CONTES</v>
      </c>
      <c r="J137" s="12" t="str">
        <f>IFERROR(VLOOKUP(Tabla1[[#This Row],[Subtipología]],' '!BU:BV,2,0),"NO EFECTIVA")</f>
        <v>EFECTIVA</v>
      </c>
      <c r="K137" s="12"/>
    </row>
    <row r="138" spans="1:11" x14ac:dyDescent="0.25">
      <c r="A138" s="29">
        <v>45372</v>
      </c>
      <c r="B138" s="3" t="s">
        <v>17</v>
      </c>
      <c r="C138" s="12" t="s">
        <v>29</v>
      </c>
      <c r="D138" s="38">
        <v>483</v>
      </c>
      <c r="E138" s="7">
        <v>558</v>
      </c>
      <c r="F138" s="7">
        <v>61.886128364389236</v>
      </c>
      <c r="G13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38" s="44" t="str">
        <f>IF(Tabla1[[#This Row],[FILTER_1]]="CONTES","EFECTIVO","NO EFECTIVO")</f>
        <v>EFECTIVO</v>
      </c>
      <c r="I138" s="44" t="str">
        <f>LEFT(Tabla1[[#This Row],[Tipificación]],6)</f>
        <v>CONTES</v>
      </c>
      <c r="J138" s="12" t="str">
        <f>IFERROR(VLOOKUP(Tabla1[[#This Row],[Subtipología]],' '!BU:BV,2,0),"NO EFECTIVA")</f>
        <v>EFECTIVA</v>
      </c>
      <c r="K138" s="12"/>
    </row>
    <row r="139" spans="1:11" x14ac:dyDescent="0.25">
      <c r="A139" s="29">
        <v>45372</v>
      </c>
      <c r="B139" s="3" t="s">
        <v>17</v>
      </c>
      <c r="C139" s="12" t="s">
        <v>30</v>
      </c>
      <c r="D139" s="38">
        <v>387</v>
      </c>
      <c r="E139" s="7">
        <v>183</v>
      </c>
      <c r="F139" s="7">
        <v>35.382428940568474</v>
      </c>
      <c r="G13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39" s="44" t="str">
        <f>IF(Tabla1[[#This Row],[FILTER_1]]="CONTES","EFECTIVO","NO EFECTIVO")</f>
        <v>EFECTIVO</v>
      </c>
      <c r="I139" s="44" t="str">
        <f>LEFT(Tabla1[[#This Row],[Tipificación]],6)</f>
        <v>CONTES</v>
      </c>
      <c r="J139" s="12" t="str">
        <f>IFERROR(VLOOKUP(Tabla1[[#This Row],[Subtipología]],' '!BU:BV,2,0),"NO EFECTIVA")</f>
        <v>EFECTIVA</v>
      </c>
      <c r="K139" s="12"/>
    </row>
    <row r="140" spans="1:11" x14ac:dyDescent="0.25">
      <c r="A140" s="29">
        <v>45372</v>
      </c>
      <c r="B140" s="3" t="s">
        <v>17</v>
      </c>
      <c r="C140" s="12" t="s">
        <v>32</v>
      </c>
      <c r="D140" s="38">
        <v>64</v>
      </c>
      <c r="E140" s="7">
        <v>48</v>
      </c>
      <c r="F140" s="7">
        <v>41.796875</v>
      </c>
      <c r="G14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40" s="44" t="str">
        <f>IF(Tabla1[[#This Row],[FILTER_1]]="CONTES","EFECTIVO","NO EFECTIVO")</f>
        <v>EFECTIVO</v>
      </c>
      <c r="I140" s="44" t="str">
        <f>LEFT(Tabla1[[#This Row],[Tipificación]],6)</f>
        <v>CONTES</v>
      </c>
      <c r="J140" s="12" t="str">
        <f>IFERROR(VLOOKUP(Tabla1[[#This Row],[Subtipología]],' '!BU:BV,2,0),"NO EFECTIVA")</f>
        <v>EFECTIVA</v>
      </c>
      <c r="K140" s="12"/>
    </row>
    <row r="141" spans="1:11" x14ac:dyDescent="0.25">
      <c r="A141" s="29">
        <v>45372</v>
      </c>
      <c r="B141" s="3" t="s">
        <v>17</v>
      </c>
      <c r="C141" s="12" t="s">
        <v>31</v>
      </c>
      <c r="D141" s="38">
        <v>1224</v>
      </c>
      <c r="E141" s="7">
        <v>1377</v>
      </c>
      <c r="F141" s="7">
        <v>61.859477124183009</v>
      </c>
      <c r="G14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1" s="44" t="str">
        <f>IF(Tabla1[[#This Row],[FILTER_1]]="CONTES","EFECTIVO","NO EFECTIVO")</f>
        <v>EFECTIVO</v>
      </c>
      <c r="I141" s="44" t="str">
        <f>LEFT(Tabla1[[#This Row],[Tipificación]],6)</f>
        <v>CONTES</v>
      </c>
      <c r="J141" s="12" t="str">
        <f>IFERROR(VLOOKUP(Tabla1[[#This Row],[Subtipología]],' '!BU:BV,2,0),"NO EFECTIVA")</f>
        <v>EFECTIVA</v>
      </c>
      <c r="K141" s="12"/>
    </row>
    <row r="142" spans="1:11" x14ac:dyDescent="0.25">
      <c r="A142" s="29">
        <v>45372</v>
      </c>
      <c r="B142" s="3" t="s">
        <v>17</v>
      </c>
      <c r="C142" s="12" t="s">
        <v>33</v>
      </c>
      <c r="D142" s="38">
        <v>1560</v>
      </c>
      <c r="E142" s="7">
        <v>1328</v>
      </c>
      <c r="F142" s="7">
        <v>45.30833333333333</v>
      </c>
      <c r="G14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42" s="44" t="str">
        <f>IF(Tabla1[[#This Row],[FILTER_1]]="CONTES","EFECTIVO","NO EFECTIVO")</f>
        <v>EFECTIVO</v>
      </c>
      <c r="I142" s="44" t="str">
        <f>LEFT(Tabla1[[#This Row],[Tipificación]],6)</f>
        <v>CONTES</v>
      </c>
      <c r="J142" s="12" t="str">
        <f>IFERROR(VLOOKUP(Tabla1[[#This Row],[Subtipología]],' '!BU:BV,2,0),"NO EFECTIVA")</f>
        <v>EFECTIVA</v>
      </c>
      <c r="K142" s="12"/>
    </row>
    <row r="143" spans="1:11" x14ac:dyDescent="0.25">
      <c r="A143" s="29">
        <v>45373</v>
      </c>
      <c r="B143" s="3" t="s">
        <v>17</v>
      </c>
      <c r="C143" s="12" t="s">
        <v>25</v>
      </c>
      <c r="D143" s="38">
        <v>218</v>
      </c>
      <c r="E143" s="7">
        <v>217</v>
      </c>
      <c r="F143" s="7">
        <v>41.967889908256879</v>
      </c>
      <c r="G14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3" s="44" t="str">
        <f>IF(Tabla1[[#This Row],[FILTER_1]]="CONTES","EFECTIVO","NO EFECTIVO")</f>
        <v>EFECTIVO</v>
      </c>
      <c r="I143" s="44" t="str">
        <f>LEFT(Tabla1[[#This Row],[Tipificación]],6)</f>
        <v>CONTES</v>
      </c>
      <c r="J143" s="12" t="str">
        <f>IFERROR(VLOOKUP(Tabla1[[#This Row],[Subtipología]],' '!BU:BV,2,0),"NO EFECTIVA")</f>
        <v>EFECTIVA</v>
      </c>
      <c r="K143" s="12"/>
    </row>
    <row r="144" spans="1:11" x14ac:dyDescent="0.25">
      <c r="A144" s="29">
        <v>45373</v>
      </c>
      <c r="B144" s="3" t="s">
        <v>17</v>
      </c>
      <c r="C144" s="12" t="s">
        <v>26</v>
      </c>
      <c r="D144" s="38">
        <v>290</v>
      </c>
      <c r="E144" s="7">
        <v>259</v>
      </c>
      <c r="F144" s="7">
        <v>38.479310344827589</v>
      </c>
      <c r="G14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4" s="44" t="str">
        <f>IF(Tabla1[[#This Row],[FILTER_1]]="CONTES","EFECTIVO","NO EFECTIVO")</f>
        <v>EFECTIVO</v>
      </c>
      <c r="I144" s="44" t="str">
        <f>LEFT(Tabla1[[#This Row],[Tipificación]],6)</f>
        <v>CONTES</v>
      </c>
      <c r="J144" s="12" t="str">
        <f>IFERROR(VLOOKUP(Tabla1[[#This Row],[Subtipología]],' '!BU:BV,2,0),"NO EFECTIVA")</f>
        <v>EFECTIVA</v>
      </c>
      <c r="K144" s="12"/>
    </row>
    <row r="145" spans="1:11" x14ac:dyDescent="0.25">
      <c r="A145" s="29">
        <v>45373</v>
      </c>
      <c r="B145" s="3" t="s">
        <v>17</v>
      </c>
      <c r="C145" s="12" t="s">
        <v>34</v>
      </c>
      <c r="D145" s="38">
        <v>6624</v>
      </c>
      <c r="G145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45" s="44" t="str">
        <f>IF(Tabla1[[#This Row],[FILTER_1]]="CONTES","EFECTIVO","NO EFECTIVO")</f>
        <v>NO EFECTIVO</v>
      </c>
      <c r="I145" s="44" t="str">
        <f>LEFT(Tabla1[[#This Row],[Tipificación]],6)</f>
        <v>ERROR</v>
      </c>
      <c r="J145" s="12" t="str">
        <f>IFERROR(VLOOKUP(Tabla1[[#This Row],[Subtipología]],' '!BU:BV,2,0),"NO EFECTIVA")</f>
        <v>NO EFECTIVA</v>
      </c>
      <c r="K145" s="12"/>
    </row>
    <row r="146" spans="1:11" x14ac:dyDescent="0.25">
      <c r="A146" s="29">
        <v>45373</v>
      </c>
      <c r="B146" s="3" t="s">
        <v>17</v>
      </c>
      <c r="C146" s="12" t="s">
        <v>24</v>
      </c>
      <c r="D146" s="38">
        <v>9776</v>
      </c>
      <c r="E146" s="7">
        <v>3065</v>
      </c>
      <c r="F146" s="7">
        <v>22.894333060556466</v>
      </c>
      <c r="G14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46" s="44" t="str">
        <f>IF(Tabla1[[#This Row],[FILTER_1]]="CONTES","EFECTIVO","NO EFECTIVO")</f>
        <v>EFECTIVO</v>
      </c>
      <c r="I146" s="44" t="str">
        <f>LEFT(Tabla1[[#This Row],[Tipificación]],6)</f>
        <v>CONTES</v>
      </c>
      <c r="J146" s="12" t="str">
        <f>IFERROR(VLOOKUP(Tabla1[[#This Row],[Subtipología]],' '!BU:BV,2,0),"NO EFECTIVA")</f>
        <v>NO EFECTIVA</v>
      </c>
      <c r="K146" s="12"/>
    </row>
    <row r="147" spans="1:11" x14ac:dyDescent="0.25">
      <c r="A147" s="29">
        <v>45373</v>
      </c>
      <c r="B147" s="3" t="s">
        <v>17</v>
      </c>
      <c r="C147" s="12" t="s">
        <v>27</v>
      </c>
      <c r="D147" s="38">
        <v>80</v>
      </c>
      <c r="E147" s="7">
        <v>90</v>
      </c>
      <c r="F147" s="7">
        <v>63.912500000000001</v>
      </c>
      <c r="G14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7" s="44" t="str">
        <f>IF(Tabla1[[#This Row],[FILTER_1]]="CONTES","EFECTIVO","NO EFECTIVO")</f>
        <v>EFECTIVO</v>
      </c>
      <c r="I147" s="44" t="str">
        <f>LEFT(Tabla1[[#This Row],[Tipificación]],6)</f>
        <v>CONTES</v>
      </c>
      <c r="J147" s="12" t="str">
        <f>IFERROR(VLOOKUP(Tabla1[[#This Row],[Subtipología]],' '!BU:BV,2,0),"NO EFECTIVA")</f>
        <v>EFECTIVA</v>
      </c>
      <c r="K147" s="12"/>
    </row>
    <row r="148" spans="1:11" x14ac:dyDescent="0.25">
      <c r="A148" s="29">
        <v>45373</v>
      </c>
      <c r="B148" s="3" t="s">
        <v>17</v>
      </c>
      <c r="C148" s="12" t="s">
        <v>28</v>
      </c>
      <c r="D148" s="38">
        <v>256</v>
      </c>
      <c r="E148" s="7">
        <v>262</v>
      </c>
      <c r="F148" s="7">
        <v>49.32421875</v>
      </c>
      <c r="G14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8" s="44" t="str">
        <f>IF(Tabla1[[#This Row],[FILTER_1]]="CONTES","EFECTIVO","NO EFECTIVO")</f>
        <v>EFECTIVO</v>
      </c>
      <c r="I148" s="44" t="str">
        <f>LEFT(Tabla1[[#This Row],[Tipificación]],6)</f>
        <v>CONTES</v>
      </c>
      <c r="J148" s="12" t="str">
        <f>IFERROR(VLOOKUP(Tabla1[[#This Row],[Subtipología]],' '!BU:BV,2,0),"NO EFECTIVA")</f>
        <v>EFECTIVA</v>
      </c>
      <c r="K148" s="12"/>
    </row>
    <row r="149" spans="1:11" x14ac:dyDescent="0.25">
      <c r="A149" s="29">
        <v>45373</v>
      </c>
      <c r="B149" s="3" t="s">
        <v>17</v>
      </c>
      <c r="C149" s="12" t="s">
        <v>29</v>
      </c>
      <c r="D149" s="38">
        <v>299</v>
      </c>
      <c r="E149" s="7">
        <v>337</v>
      </c>
      <c r="F149" s="7">
        <v>61.220735785953174</v>
      </c>
      <c r="G14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49" s="44" t="str">
        <f>IF(Tabla1[[#This Row],[FILTER_1]]="CONTES","EFECTIVO","NO EFECTIVO")</f>
        <v>EFECTIVO</v>
      </c>
      <c r="I149" s="44" t="str">
        <f>LEFT(Tabla1[[#This Row],[Tipificación]],6)</f>
        <v>CONTES</v>
      </c>
      <c r="J149" s="12" t="str">
        <f>IFERROR(VLOOKUP(Tabla1[[#This Row],[Subtipología]],' '!BU:BV,2,0),"NO EFECTIVA")</f>
        <v>EFECTIVA</v>
      </c>
      <c r="K149" s="12"/>
    </row>
    <row r="150" spans="1:11" x14ac:dyDescent="0.25">
      <c r="A150" s="29">
        <v>45373</v>
      </c>
      <c r="B150" s="3" t="s">
        <v>17</v>
      </c>
      <c r="C150" s="12" t="s">
        <v>30</v>
      </c>
      <c r="D150" s="38">
        <v>240</v>
      </c>
      <c r="E150" s="7">
        <v>152</v>
      </c>
      <c r="F150" s="7">
        <v>40.029166666666669</v>
      </c>
      <c r="G15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0" s="44" t="str">
        <f>IF(Tabla1[[#This Row],[FILTER_1]]="CONTES","EFECTIVO","NO EFECTIVO")</f>
        <v>EFECTIVO</v>
      </c>
      <c r="I150" s="44" t="str">
        <f>LEFT(Tabla1[[#This Row],[Tipificación]],6)</f>
        <v>CONTES</v>
      </c>
      <c r="J150" s="12" t="str">
        <f>IFERROR(VLOOKUP(Tabla1[[#This Row],[Subtipología]],' '!BU:BV,2,0),"NO EFECTIVA")</f>
        <v>EFECTIVA</v>
      </c>
      <c r="K150" s="12"/>
    </row>
    <row r="151" spans="1:11" x14ac:dyDescent="0.25">
      <c r="A151" s="29">
        <v>45373</v>
      </c>
      <c r="B151" s="3" t="s">
        <v>17</v>
      </c>
      <c r="C151" s="12" t="s">
        <v>32</v>
      </c>
      <c r="D151" s="38">
        <v>45</v>
      </c>
      <c r="E151" s="7">
        <v>38</v>
      </c>
      <c r="F151" s="7">
        <v>48.288888888888891</v>
      </c>
      <c r="G15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1" s="44" t="str">
        <f>IF(Tabla1[[#This Row],[FILTER_1]]="CONTES","EFECTIVO","NO EFECTIVO")</f>
        <v>EFECTIVO</v>
      </c>
      <c r="I151" s="44" t="str">
        <f>LEFT(Tabla1[[#This Row],[Tipificación]],6)</f>
        <v>CONTES</v>
      </c>
      <c r="J151" s="12" t="str">
        <f>IFERROR(VLOOKUP(Tabla1[[#This Row],[Subtipología]],' '!BU:BV,2,0),"NO EFECTIVA")</f>
        <v>EFECTIVA</v>
      </c>
      <c r="K151" s="12"/>
    </row>
    <row r="152" spans="1:11" x14ac:dyDescent="0.25">
      <c r="A152" s="29">
        <v>45373</v>
      </c>
      <c r="B152" s="3" t="s">
        <v>17</v>
      </c>
      <c r="C152" s="12" t="s">
        <v>31</v>
      </c>
      <c r="D152" s="38">
        <v>684</v>
      </c>
      <c r="E152" s="7">
        <v>758</v>
      </c>
      <c r="F152" s="7">
        <v>61.315789473684212</v>
      </c>
      <c r="G15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52" s="44" t="str">
        <f>IF(Tabla1[[#This Row],[FILTER_1]]="CONTES","EFECTIVO","NO EFECTIVO")</f>
        <v>EFECTIVO</v>
      </c>
      <c r="I152" s="44" t="str">
        <f>LEFT(Tabla1[[#This Row],[Tipificación]],6)</f>
        <v>CONTES</v>
      </c>
      <c r="J152" s="12" t="str">
        <f>IFERROR(VLOOKUP(Tabla1[[#This Row],[Subtipología]],' '!BU:BV,2,0),"NO EFECTIVA")</f>
        <v>EFECTIVA</v>
      </c>
      <c r="K152" s="12"/>
    </row>
    <row r="153" spans="1:11" x14ac:dyDescent="0.25">
      <c r="A153" s="29">
        <v>45373</v>
      </c>
      <c r="B153" s="3" t="s">
        <v>17</v>
      </c>
      <c r="C153" s="12" t="s">
        <v>33</v>
      </c>
      <c r="D153" s="38">
        <v>744</v>
      </c>
      <c r="E153" s="7">
        <v>715</v>
      </c>
      <c r="F153" s="7">
        <v>50.064516129032256</v>
      </c>
      <c r="G15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3" s="44" t="str">
        <f>IF(Tabla1[[#This Row],[FILTER_1]]="CONTES","EFECTIVO","NO EFECTIVO")</f>
        <v>EFECTIVO</v>
      </c>
      <c r="I153" s="44" t="str">
        <f>LEFT(Tabla1[[#This Row],[Tipificación]],6)</f>
        <v>CONTES</v>
      </c>
      <c r="J153" s="12" t="str">
        <f>IFERROR(VLOOKUP(Tabla1[[#This Row],[Subtipología]],' '!BU:BV,2,0),"NO EFECTIVA")</f>
        <v>EFECTIVA</v>
      </c>
      <c r="K153" s="12"/>
    </row>
    <row r="154" spans="1:11" x14ac:dyDescent="0.25">
      <c r="A154" s="29">
        <v>45360</v>
      </c>
      <c r="B154" s="3" t="s">
        <v>36</v>
      </c>
      <c r="C154" s="12" t="s">
        <v>37</v>
      </c>
      <c r="D154" s="38">
        <v>230</v>
      </c>
      <c r="E154" s="7">
        <v>110.06666666666666</v>
      </c>
      <c r="F154" s="7">
        <v>28.713043478260868</v>
      </c>
      <c r="G15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4" s="44" t="str">
        <f>IF(Tabla1[[#This Row],[FILTER_1]]="CONTES","EFECTIVO","NO EFECTIVO")</f>
        <v>EFECTIVO</v>
      </c>
      <c r="I154" s="44" t="str">
        <f>LEFT(Tabla1[[#This Row],[Tipificación]],6)</f>
        <v>CONTES</v>
      </c>
      <c r="J154" s="12" t="str">
        <f>IFERROR(VLOOKUP(Tabla1[[#This Row],[Subtipología]],' '!BU:BV,2,0),"NO EFECTIVA")</f>
        <v>NO EFECTIVA</v>
      </c>
      <c r="K154" s="12"/>
    </row>
    <row r="155" spans="1:11" x14ac:dyDescent="0.25">
      <c r="A155" s="29">
        <v>45360</v>
      </c>
      <c r="B155" s="3" t="s">
        <v>36</v>
      </c>
      <c r="C155" s="12" t="s">
        <v>38</v>
      </c>
      <c r="D155" s="38">
        <v>1919</v>
      </c>
      <c r="E155" s="7">
        <v>1009.0833333333334</v>
      </c>
      <c r="F155" s="7">
        <v>31.550286607608129</v>
      </c>
      <c r="G15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55" s="44" t="str">
        <f>IF(Tabla1[[#This Row],[FILTER_1]]="CONTES","EFECTIVO","NO EFECTIVO")</f>
        <v>EFECTIVO</v>
      </c>
      <c r="I155" s="44" t="str">
        <f>LEFT(Tabla1[[#This Row],[Tipificación]],6)</f>
        <v>CONTES</v>
      </c>
      <c r="J155" s="12" t="str">
        <f>IFERROR(VLOOKUP(Tabla1[[#This Row],[Subtipología]],' '!BU:BV,2,0),"NO EFECTIVA")</f>
        <v>NO EFECTIVA</v>
      </c>
      <c r="K155" s="12"/>
    </row>
    <row r="156" spans="1:11" x14ac:dyDescent="0.25">
      <c r="A156" s="29">
        <v>45360</v>
      </c>
      <c r="B156" s="3" t="s">
        <v>36</v>
      </c>
      <c r="C156" s="12" t="s">
        <v>39</v>
      </c>
      <c r="D156" s="38">
        <v>22204</v>
      </c>
      <c r="E156" s="7">
        <v>1640.2166666666667</v>
      </c>
      <c r="F156" s="7">
        <v>4.4322194199243379</v>
      </c>
      <c r="G156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56" s="44" t="str">
        <f>IF(Tabla1[[#This Row],[FILTER_1]]="CONTES","EFECTIVO","NO EFECTIVO")</f>
        <v>NO EFECTIVO</v>
      </c>
      <c r="I156" s="44" t="str">
        <f>LEFT(Tabla1[[#This Row],[Tipificación]],6)</f>
        <v>ERROR</v>
      </c>
      <c r="J156" s="12" t="str">
        <f>IFERROR(VLOOKUP(Tabla1[[#This Row],[Subtipología]],' '!BU:BV,2,0),"NO EFECTIVA")</f>
        <v>NO EFECTIVA</v>
      </c>
      <c r="K156" s="12"/>
    </row>
    <row r="157" spans="1:11" x14ac:dyDescent="0.25">
      <c r="A157" s="29">
        <v>45360</v>
      </c>
      <c r="B157" s="3" t="s">
        <v>36</v>
      </c>
      <c r="C157" s="12" t="s">
        <v>40</v>
      </c>
      <c r="D157" s="38">
        <v>1751</v>
      </c>
      <c r="E157" s="7">
        <v>361.11666666666667</v>
      </c>
      <c r="F157" s="7">
        <v>12.37407195888064</v>
      </c>
      <c r="G15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7" s="44" t="str">
        <f>IF(Tabla1[[#This Row],[FILTER_1]]="CONTES","EFECTIVO","NO EFECTIVO")</f>
        <v>EFECTIVO</v>
      </c>
      <c r="I157" s="44" t="str">
        <f>LEFT(Tabla1[[#This Row],[Tipificación]],6)</f>
        <v>CONTES</v>
      </c>
      <c r="J157" s="12" t="str">
        <f>IFERROR(VLOOKUP(Tabla1[[#This Row],[Subtipología]],' '!BU:BV,2,0),"NO EFECTIVA")</f>
        <v>NO EFECTIVA</v>
      </c>
      <c r="K157" s="12"/>
    </row>
    <row r="158" spans="1:11" x14ac:dyDescent="0.25">
      <c r="A158" s="29">
        <v>45360</v>
      </c>
      <c r="B158" s="3" t="s">
        <v>36</v>
      </c>
      <c r="C158" s="12" t="s">
        <v>41</v>
      </c>
      <c r="D158" s="38">
        <v>174</v>
      </c>
      <c r="E158" s="7">
        <v>86.1</v>
      </c>
      <c r="F158" s="7">
        <v>29.689655172413794</v>
      </c>
      <c r="G15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8" s="44" t="str">
        <f>IF(Tabla1[[#This Row],[FILTER_1]]="CONTES","EFECTIVO","NO EFECTIVO")</f>
        <v>EFECTIVO</v>
      </c>
      <c r="I158" s="44" t="str">
        <f>LEFT(Tabla1[[#This Row],[Tipificación]],6)</f>
        <v>CONTES</v>
      </c>
      <c r="J158" s="12" t="str">
        <f>IFERROR(VLOOKUP(Tabla1[[#This Row],[Subtipología]],' '!BU:BV,2,0),"NO EFECTIVA")</f>
        <v>EFECTIVA</v>
      </c>
      <c r="K158" s="12"/>
    </row>
    <row r="159" spans="1:11" x14ac:dyDescent="0.25">
      <c r="A159" s="29">
        <v>45360</v>
      </c>
      <c r="B159" s="3" t="s">
        <v>36</v>
      </c>
      <c r="C159" s="12" t="s">
        <v>42</v>
      </c>
      <c r="D159" s="38">
        <v>917</v>
      </c>
      <c r="E159" s="7">
        <v>475.91666666666669</v>
      </c>
      <c r="F159" s="7">
        <v>31.139585605234462</v>
      </c>
      <c r="G15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59" s="44" t="str">
        <f>IF(Tabla1[[#This Row],[FILTER_1]]="CONTES","EFECTIVO","NO EFECTIVO")</f>
        <v>EFECTIVO</v>
      </c>
      <c r="I159" s="44" t="str">
        <f>LEFT(Tabla1[[#This Row],[Tipificación]],6)</f>
        <v>CONTES</v>
      </c>
      <c r="J159" s="12" t="str">
        <f>IFERROR(VLOOKUP(Tabla1[[#This Row],[Subtipología]],' '!BU:BV,2,0),"NO EFECTIVA")</f>
        <v>EFECTIVA</v>
      </c>
      <c r="K159" s="12"/>
    </row>
    <row r="160" spans="1:11" x14ac:dyDescent="0.25">
      <c r="A160" s="29">
        <v>45360</v>
      </c>
      <c r="B160" s="3" t="s">
        <v>36</v>
      </c>
      <c r="C160" s="12" t="s">
        <v>43</v>
      </c>
      <c r="D160" s="38">
        <v>1609</v>
      </c>
      <c r="E160" s="7">
        <v>0</v>
      </c>
      <c r="G160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60" s="44" t="str">
        <f>IF(Tabla1[[#This Row],[FILTER_1]]="CONTES","EFECTIVO","NO EFECTIVO")</f>
        <v>NO EFECTIVO</v>
      </c>
      <c r="I160" s="44" t="str">
        <f>LEFT(Tabla1[[#This Row],[Tipificación]],6)</f>
        <v>ERROR</v>
      </c>
      <c r="J160" s="12" t="str">
        <f>IFERROR(VLOOKUP(Tabla1[[#This Row],[Subtipología]],' '!BU:BV,2,0),"NO EFECTIVA")</f>
        <v>NO EFECTIVA</v>
      </c>
      <c r="K160" s="12"/>
    </row>
    <row r="161" spans="1:11" x14ac:dyDescent="0.25">
      <c r="A161" s="29">
        <v>45360</v>
      </c>
      <c r="B161" s="3" t="s">
        <v>36</v>
      </c>
      <c r="C161" s="12" t="s">
        <v>44</v>
      </c>
      <c r="D161" s="38">
        <v>4</v>
      </c>
      <c r="E161" s="7">
        <v>1.5666666666666667</v>
      </c>
      <c r="F161" s="7">
        <v>23.5</v>
      </c>
      <c r="G16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61" s="44" t="str">
        <f>IF(Tabla1[[#This Row],[FILTER_1]]="CONTES","EFECTIVO","NO EFECTIVO")</f>
        <v>EFECTIVO</v>
      </c>
      <c r="I161" s="44" t="str">
        <f>LEFT(Tabla1[[#This Row],[Tipificación]],6)</f>
        <v>CONTES</v>
      </c>
      <c r="J161" s="12" t="str">
        <f>IFERROR(VLOOKUP(Tabla1[[#This Row],[Subtipología]],' '!BU:BV,2,0),"NO EFECTIVA")</f>
        <v>EFECTIVA</v>
      </c>
      <c r="K161" s="12"/>
    </row>
    <row r="162" spans="1:11" x14ac:dyDescent="0.25">
      <c r="A162" s="29">
        <v>45360</v>
      </c>
      <c r="B162" s="3" t="s">
        <v>36</v>
      </c>
      <c r="C162" s="12" t="s">
        <v>45</v>
      </c>
      <c r="D162" s="38">
        <v>35390</v>
      </c>
      <c r="E162" s="7">
        <v>39.18333333333333</v>
      </c>
      <c r="F162" s="7">
        <v>3.3019662921348316</v>
      </c>
      <c r="G16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62" s="44" t="str">
        <f>IF(Tabla1[[#This Row],[FILTER_1]]="CONTES","EFECTIVO","NO EFECTIVO")</f>
        <v>EFECTIVO</v>
      </c>
      <c r="I162" s="44" t="str">
        <f>LEFT(Tabla1[[#This Row],[Tipificación]],6)</f>
        <v>CONTES</v>
      </c>
      <c r="J162" s="12" t="str">
        <f>IFERROR(VLOOKUP(Tabla1[[#This Row],[Subtipología]],' '!BU:BV,2,0),"NO EFECTIVA")</f>
        <v>NO EFECTIVA</v>
      </c>
      <c r="K162" s="12"/>
    </row>
    <row r="163" spans="1:11" x14ac:dyDescent="0.25">
      <c r="A163" s="29">
        <v>45360</v>
      </c>
      <c r="B163" s="3" t="s">
        <v>36</v>
      </c>
      <c r="C163" s="12" t="s">
        <v>46</v>
      </c>
      <c r="D163" s="38">
        <v>260</v>
      </c>
      <c r="E163" s="7">
        <v>117.51666666666667</v>
      </c>
      <c r="F163" s="7">
        <v>27.119230769230768</v>
      </c>
      <c r="G16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63" s="44" t="str">
        <f>IF(Tabla1[[#This Row],[FILTER_1]]="CONTES","EFECTIVO","NO EFECTIVO")</f>
        <v>EFECTIVO</v>
      </c>
      <c r="I163" s="44" t="str">
        <f>LEFT(Tabla1[[#This Row],[Tipificación]],6)</f>
        <v>CONTES</v>
      </c>
      <c r="J163" s="12" t="str">
        <f>IFERROR(VLOOKUP(Tabla1[[#This Row],[Subtipología]],' '!BU:BV,2,0),"NO EFECTIVA")</f>
        <v>EFECTIVA</v>
      </c>
    </row>
    <row r="164" spans="1:11" x14ac:dyDescent="0.25">
      <c r="A164" s="29">
        <v>45360</v>
      </c>
      <c r="B164" s="3" t="s">
        <v>36</v>
      </c>
      <c r="C164" s="12" t="s">
        <v>47</v>
      </c>
      <c r="D164" s="38">
        <v>781</v>
      </c>
      <c r="E164" s="7">
        <v>644.68333333333328</v>
      </c>
      <c r="F164" s="7">
        <v>49.52752880921895</v>
      </c>
      <c r="G16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64" s="44" t="str">
        <f>IF(Tabla1[[#This Row],[FILTER_1]]="CONTES","EFECTIVO","NO EFECTIVO")</f>
        <v>EFECTIVO</v>
      </c>
      <c r="I164" s="44" t="str">
        <f>LEFT(Tabla1[[#This Row],[Tipificación]],6)</f>
        <v>CONTES</v>
      </c>
      <c r="J164" s="12" t="str">
        <f>IFERROR(VLOOKUP(Tabla1[[#This Row],[Subtipología]],' '!BU:BV,2,0),"NO EFECTIVA")</f>
        <v>EFECTIVA</v>
      </c>
    </row>
    <row r="165" spans="1:11" x14ac:dyDescent="0.25">
      <c r="A165" s="29">
        <v>45360</v>
      </c>
      <c r="B165" s="3" t="s">
        <v>36</v>
      </c>
      <c r="C165" s="12" t="s">
        <v>48</v>
      </c>
      <c r="D165" s="38">
        <v>12</v>
      </c>
      <c r="E165" s="7">
        <v>4.0166666666666666</v>
      </c>
      <c r="F165" s="7">
        <v>20.083333333333332</v>
      </c>
      <c r="G16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65" s="44" t="str">
        <f>IF(Tabla1[[#This Row],[FILTER_1]]="CONTES","EFECTIVO","NO EFECTIVO")</f>
        <v>EFECTIVO</v>
      </c>
      <c r="I165" s="44" t="str">
        <f>LEFT(Tabla1[[#This Row],[Tipificación]],6)</f>
        <v>CONTES</v>
      </c>
      <c r="J165" s="12" t="str">
        <f>IFERROR(VLOOKUP(Tabla1[[#This Row],[Subtipología]],' '!BU:BV,2,0),"NO EFECTIVA")</f>
        <v>EFECTIVA</v>
      </c>
    </row>
    <row r="166" spans="1:11" x14ac:dyDescent="0.25">
      <c r="A166" s="29">
        <v>45361</v>
      </c>
      <c r="B166" s="3" t="s">
        <v>36</v>
      </c>
      <c r="C166" s="12" t="s">
        <v>37</v>
      </c>
      <c r="D166" s="38">
        <v>94</v>
      </c>
      <c r="E166" s="7">
        <v>45.833333333333336</v>
      </c>
      <c r="F166" s="7">
        <v>29.25531914893617</v>
      </c>
      <c r="G16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66" s="44" t="str">
        <f>IF(Tabla1[[#This Row],[FILTER_1]]="CONTES","EFECTIVO","NO EFECTIVO")</f>
        <v>EFECTIVO</v>
      </c>
      <c r="I166" s="44" t="str">
        <f>LEFT(Tabla1[[#This Row],[Tipificación]],6)</f>
        <v>CONTES</v>
      </c>
      <c r="J166" s="12" t="str">
        <f>IFERROR(VLOOKUP(Tabla1[[#This Row],[Subtipología]],' '!BU:BV,2,0),"NO EFECTIVA")</f>
        <v>NO EFECTIVA</v>
      </c>
    </row>
    <row r="167" spans="1:11" x14ac:dyDescent="0.25">
      <c r="A167" s="29">
        <v>45361</v>
      </c>
      <c r="B167" s="3" t="s">
        <v>36</v>
      </c>
      <c r="C167" s="12" t="s">
        <v>38</v>
      </c>
      <c r="D167" s="38">
        <v>1201</v>
      </c>
      <c r="E167" s="7">
        <v>622.2833333333333</v>
      </c>
      <c r="F167" s="7">
        <v>31.088259783513738</v>
      </c>
      <c r="G16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67" s="44" t="str">
        <f>IF(Tabla1[[#This Row],[FILTER_1]]="CONTES","EFECTIVO","NO EFECTIVO")</f>
        <v>EFECTIVO</v>
      </c>
      <c r="I167" s="44" t="str">
        <f>LEFT(Tabla1[[#This Row],[Tipificación]],6)</f>
        <v>CONTES</v>
      </c>
      <c r="J167" s="12" t="str">
        <f>IFERROR(VLOOKUP(Tabla1[[#This Row],[Subtipología]],' '!BU:BV,2,0),"NO EFECTIVA")</f>
        <v>NO EFECTIVA</v>
      </c>
    </row>
    <row r="168" spans="1:11" x14ac:dyDescent="0.25">
      <c r="A168" s="29">
        <v>45361</v>
      </c>
      <c r="B168" s="3" t="s">
        <v>36</v>
      </c>
      <c r="C168" s="12" t="s">
        <v>39</v>
      </c>
      <c r="D168" s="38">
        <v>15548</v>
      </c>
      <c r="E168" s="7">
        <v>1445.4</v>
      </c>
      <c r="F168" s="7">
        <v>5.5778235142783634</v>
      </c>
      <c r="G168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68" s="44" t="str">
        <f>IF(Tabla1[[#This Row],[FILTER_1]]="CONTES","EFECTIVO","NO EFECTIVO")</f>
        <v>NO EFECTIVO</v>
      </c>
      <c r="I168" s="44" t="str">
        <f>LEFT(Tabla1[[#This Row],[Tipificación]],6)</f>
        <v>ERROR</v>
      </c>
      <c r="J168" s="12" t="str">
        <f>IFERROR(VLOOKUP(Tabla1[[#This Row],[Subtipología]],' '!BU:BV,2,0),"NO EFECTIVA")</f>
        <v>NO EFECTIVA</v>
      </c>
    </row>
    <row r="169" spans="1:11" x14ac:dyDescent="0.25">
      <c r="A169" s="29">
        <v>45361</v>
      </c>
      <c r="B169" s="3" t="s">
        <v>36</v>
      </c>
      <c r="C169" s="12" t="s">
        <v>40</v>
      </c>
      <c r="D169" s="38">
        <v>879</v>
      </c>
      <c r="E169" s="7">
        <v>172.56666666666666</v>
      </c>
      <c r="F169" s="7">
        <v>11.779294653014789</v>
      </c>
      <c r="G16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69" s="44" t="str">
        <f>IF(Tabla1[[#This Row],[FILTER_1]]="CONTES","EFECTIVO","NO EFECTIVO")</f>
        <v>EFECTIVO</v>
      </c>
      <c r="I169" s="44" t="str">
        <f>LEFT(Tabla1[[#This Row],[Tipificación]],6)</f>
        <v>CONTES</v>
      </c>
      <c r="J169" s="12" t="str">
        <f>IFERROR(VLOOKUP(Tabla1[[#This Row],[Subtipología]],' '!BU:BV,2,0),"NO EFECTIVA")</f>
        <v>NO EFECTIVA</v>
      </c>
    </row>
    <row r="170" spans="1:11" x14ac:dyDescent="0.25">
      <c r="A170" s="29">
        <v>45361</v>
      </c>
      <c r="B170" s="3" t="s">
        <v>36</v>
      </c>
      <c r="C170" s="12" t="s">
        <v>41</v>
      </c>
      <c r="D170" s="38">
        <v>88</v>
      </c>
      <c r="E170" s="7">
        <v>46.45</v>
      </c>
      <c r="F170" s="7">
        <v>31.670454545454547</v>
      </c>
      <c r="G17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70" s="44" t="str">
        <f>IF(Tabla1[[#This Row],[FILTER_1]]="CONTES","EFECTIVO","NO EFECTIVO")</f>
        <v>EFECTIVO</v>
      </c>
      <c r="I170" s="44" t="str">
        <f>LEFT(Tabla1[[#This Row],[Tipificación]],6)</f>
        <v>CONTES</v>
      </c>
      <c r="J170" s="12" t="str">
        <f>IFERROR(VLOOKUP(Tabla1[[#This Row],[Subtipología]],' '!BU:BV,2,0),"NO EFECTIVA")</f>
        <v>EFECTIVA</v>
      </c>
    </row>
    <row r="171" spans="1:11" x14ac:dyDescent="0.25">
      <c r="A171" s="29">
        <v>45361</v>
      </c>
      <c r="B171" s="3" t="s">
        <v>36</v>
      </c>
      <c r="C171" s="12" t="s">
        <v>42</v>
      </c>
      <c r="D171" s="38">
        <v>424</v>
      </c>
      <c r="E171" s="7">
        <v>219.2</v>
      </c>
      <c r="F171" s="7">
        <v>31.018867924528301</v>
      </c>
      <c r="G17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71" s="44" t="str">
        <f>IF(Tabla1[[#This Row],[FILTER_1]]="CONTES","EFECTIVO","NO EFECTIVO")</f>
        <v>EFECTIVO</v>
      </c>
      <c r="I171" s="44" t="str">
        <f>LEFT(Tabla1[[#This Row],[Tipificación]],6)</f>
        <v>CONTES</v>
      </c>
      <c r="J171" s="12" t="str">
        <f>IFERROR(VLOOKUP(Tabla1[[#This Row],[Subtipología]],' '!BU:BV,2,0),"NO EFECTIVA")</f>
        <v>EFECTIVA</v>
      </c>
    </row>
    <row r="172" spans="1:11" x14ac:dyDescent="0.25">
      <c r="A172" s="29">
        <v>45361</v>
      </c>
      <c r="B172" s="3" t="s">
        <v>36</v>
      </c>
      <c r="C172" s="12" t="s">
        <v>43</v>
      </c>
      <c r="D172" s="38">
        <v>5792</v>
      </c>
      <c r="E172" s="7">
        <v>0</v>
      </c>
      <c r="G172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72" s="44" t="str">
        <f>IF(Tabla1[[#This Row],[FILTER_1]]="CONTES","EFECTIVO","NO EFECTIVO")</f>
        <v>NO EFECTIVO</v>
      </c>
      <c r="I172" s="44" t="str">
        <f>LEFT(Tabla1[[#This Row],[Tipificación]],6)</f>
        <v>ERROR</v>
      </c>
      <c r="J172" s="12" t="str">
        <f>IFERROR(VLOOKUP(Tabla1[[#This Row],[Subtipología]],' '!BU:BV,2,0),"NO EFECTIVA")</f>
        <v>NO EFECTIVA</v>
      </c>
    </row>
    <row r="173" spans="1:11" x14ac:dyDescent="0.25">
      <c r="A173" s="29">
        <v>45361</v>
      </c>
      <c r="B173" s="3" t="s">
        <v>36</v>
      </c>
      <c r="C173" s="12" t="s">
        <v>44</v>
      </c>
      <c r="D173" s="38">
        <v>1</v>
      </c>
      <c r="E173" s="7">
        <v>0.31666666666666665</v>
      </c>
      <c r="F173" s="7">
        <v>19</v>
      </c>
      <c r="G17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73" s="44" t="str">
        <f>IF(Tabla1[[#This Row],[FILTER_1]]="CONTES","EFECTIVO","NO EFECTIVO")</f>
        <v>EFECTIVO</v>
      </c>
      <c r="I173" s="44" t="str">
        <f>LEFT(Tabla1[[#This Row],[Tipificación]],6)</f>
        <v>CONTES</v>
      </c>
      <c r="J173" s="12" t="str">
        <f>IFERROR(VLOOKUP(Tabla1[[#This Row],[Subtipología]],' '!BU:BV,2,0),"NO EFECTIVA")</f>
        <v>EFECTIVA</v>
      </c>
    </row>
    <row r="174" spans="1:11" x14ac:dyDescent="0.25">
      <c r="A174" s="29">
        <v>45361</v>
      </c>
      <c r="B174" s="3" t="s">
        <v>36</v>
      </c>
      <c r="C174" s="12" t="s">
        <v>45</v>
      </c>
      <c r="D174" s="38">
        <v>21599</v>
      </c>
      <c r="E174" s="7">
        <v>35.35</v>
      </c>
      <c r="F174" s="7">
        <v>3.6822916666666665</v>
      </c>
      <c r="G17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74" s="44" t="str">
        <f>IF(Tabla1[[#This Row],[FILTER_1]]="CONTES","EFECTIVO","NO EFECTIVO")</f>
        <v>EFECTIVO</v>
      </c>
      <c r="I174" s="44" t="str">
        <f>LEFT(Tabla1[[#This Row],[Tipificación]],6)</f>
        <v>CONTES</v>
      </c>
      <c r="J174" s="12" t="str">
        <f>IFERROR(VLOOKUP(Tabla1[[#This Row],[Subtipología]],' '!BU:BV,2,0),"NO EFECTIVA")</f>
        <v>NO EFECTIVA</v>
      </c>
    </row>
    <row r="175" spans="1:11" x14ac:dyDescent="0.25">
      <c r="A175" s="29">
        <v>45361</v>
      </c>
      <c r="B175" s="3" t="s">
        <v>36</v>
      </c>
      <c r="C175" s="12" t="s">
        <v>46</v>
      </c>
      <c r="D175" s="38">
        <v>95</v>
      </c>
      <c r="E175" s="7">
        <v>41.733333333333334</v>
      </c>
      <c r="F175" s="7">
        <v>26.357894736842105</v>
      </c>
      <c r="G17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75" s="44" t="str">
        <f>IF(Tabla1[[#This Row],[FILTER_1]]="CONTES","EFECTIVO","NO EFECTIVO")</f>
        <v>EFECTIVO</v>
      </c>
      <c r="I175" s="44" t="str">
        <f>LEFT(Tabla1[[#This Row],[Tipificación]],6)</f>
        <v>CONTES</v>
      </c>
      <c r="J175" s="12" t="str">
        <f>IFERROR(VLOOKUP(Tabla1[[#This Row],[Subtipología]],' '!BU:BV,2,0),"NO EFECTIVA")</f>
        <v>EFECTIVA</v>
      </c>
    </row>
    <row r="176" spans="1:11" x14ac:dyDescent="0.25">
      <c r="A176" s="29">
        <v>45361</v>
      </c>
      <c r="B176" s="3" t="s">
        <v>36</v>
      </c>
      <c r="C176" s="12" t="s">
        <v>47</v>
      </c>
      <c r="D176" s="38">
        <v>274</v>
      </c>
      <c r="E176" s="7">
        <v>221.46666666666667</v>
      </c>
      <c r="F176" s="7">
        <v>48.496350364963504</v>
      </c>
      <c r="G17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76" s="44" t="str">
        <f>IF(Tabla1[[#This Row],[FILTER_1]]="CONTES","EFECTIVO","NO EFECTIVO")</f>
        <v>EFECTIVO</v>
      </c>
      <c r="I176" s="44" t="str">
        <f>LEFT(Tabla1[[#This Row],[Tipificación]],6)</f>
        <v>CONTES</v>
      </c>
      <c r="J176" s="12" t="str">
        <f>IFERROR(VLOOKUP(Tabla1[[#This Row],[Subtipología]],' '!BU:BV,2,0),"NO EFECTIVA")</f>
        <v>EFECTIVA</v>
      </c>
    </row>
    <row r="177" spans="1:10" x14ac:dyDescent="0.25">
      <c r="A177" s="29">
        <v>45361</v>
      </c>
      <c r="B177" s="3" t="s">
        <v>36</v>
      </c>
      <c r="C177" s="12" t="s">
        <v>48</v>
      </c>
      <c r="D177" s="38">
        <v>5</v>
      </c>
      <c r="E177" s="7">
        <v>1.65</v>
      </c>
      <c r="F177" s="7">
        <v>19.8</v>
      </c>
      <c r="G17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77" s="44" t="str">
        <f>IF(Tabla1[[#This Row],[FILTER_1]]="CONTES","EFECTIVO","NO EFECTIVO")</f>
        <v>EFECTIVO</v>
      </c>
      <c r="I177" s="44" t="str">
        <f>LEFT(Tabla1[[#This Row],[Tipificación]],6)</f>
        <v>CONTES</v>
      </c>
      <c r="J177" s="12" t="str">
        <f>IFERROR(VLOOKUP(Tabla1[[#This Row],[Subtipología]],' '!BU:BV,2,0),"NO EFECTIVA")</f>
        <v>EFECTIVA</v>
      </c>
    </row>
    <row r="178" spans="1:10" x14ac:dyDescent="0.25">
      <c r="A178" s="29">
        <v>45362</v>
      </c>
      <c r="B178" s="3" t="s">
        <v>36</v>
      </c>
      <c r="C178" s="12" t="s">
        <v>37</v>
      </c>
      <c r="D178" s="38">
        <v>308</v>
      </c>
      <c r="E178" s="7">
        <v>151.81666666666666</v>
      </c>
      <c r="F178" s="7">
        <v>29.574675324675326</v>
      </c>
      <c r="G17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78" s="44" t="str">
        <f>IF(Tabla1[[#This Row],[FILTER_1]]="CONTES","EFECTIVO","NO EFECTIVO")</f>
        <v>EFECTIVO</v>
      </c>
      <c r="I178" s="44" t="str">
        <f>LEFT(Tabla1[[#This Row],[Tipificación]],6)</f>
        <v>CONTES</v>
      </c>
      <c r="J178" s="12" t="str">
        <f>IFERROR(VLOOKUP(Tabla1[[#This Row],[Subtipología]],' '!BU:BV,2,0),"NO EFECTIVA")</f>
        <v>NO EFECTIVA</v>
      </c>
    </row>
    <row r="179" spans="1:10" x14ac:dyDescent="0.25">
      <c r="A179" s="29">
        <v>45362</v>
      </c>
      <c r="B179" s="3" t="s">
        <v>36</v>
      </c>
      <c r="C179" s="12" t="s">
        <v>38</v>
      </c>
      <c r="D179" s="38">
        <v>2859</v>
      </c>
      <c r="E179" s="7">
        <v>1530.35</v>
      </c>
      <c r="F179" s="7">
        <v>32.116474291710389</v>
      </c>
      <c r="G17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79" s="44" t="str">
        <f>IF(Tabla1[[#This Row],[FILTER_1]]="CONTES","EFECTIVO","NO EFECTIVO")</f>
        <v>EFECTIVO</v>
      </c>
      <c r="I179" s="44" t="str">
        <f>LEFT(Tabla1[[#This Row],[Tipificación]],6)</f>
        <v>CONTES</v>
      </c>
      <c r="J179" s="12" t="str">
        <f>IFERROR(VLOOKUP(Tabla1[[#This Row],[Subtipología]],' '!BU:BV,2,0),"NO EFECTIVA")</f>
        <v>NO EFECTIVA</v>
      </c>
    </row>
    <row r="180" spans="1:10" x14ac:dyDescent="0.25">
      <c r="A180" s="29">
        <v>45362</v>
      </c>
      <c r="B180" s="3" t="s">
        <v>36</v>
      </c>
      <c r="C180" s="12" t="s">
        <v>39</v>
      </c>
      <c r="D180" s="38">
        <v>32414</v>
      </c>
      <c r="E180" s="7">
        <v>2249.6999999999998</v>
      </c>
      <c r="F180" s="7">
        <v>4.1643117171592525</v>
      </c>
      <c r="G180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80" s="44" t="str">
        <f>IF(Tabla1[[#This Row],[FILTER_1]]="CONTES","EFECTIVO","NO EFECTIVO")</f>
        <v>NO EFECTIVO</v>
      </c>
      <c r="I180" s="44" t="str">
        <f>LEFT(Tabla1[[#This Row],[Tipificación]],6)</f>
        <v>ERROR</v>
      </c>
      <c r="J180" s="12" t="str">
        <f>IFERROR(VLOOKUP(Tabla1[[#This Row],[Subtipología]],' '!BU:BV,2,0),"NO EFECTIVA")</f>
        <v>NO EFECTIVA</v>
      </c>
    </row>
    <row r="181" spans="1:10" x14ac:dyDescent="0.25">
      <c r="A181" s="29">
        <v>45362</v>
      </c>
      <c r="B181" s="3" t="s">
        <v>36</v>
      </c>
      <c r="C181" s="12" t="s">
        <v>40</v>
      </c>
      <c r="D181" s="38">
        <v>2142</v>
      </c>
      <c r="E181" s="7">
        <v>413.08333333333331</v>
      </c>
      <c r="F181" s="7">
        <v>11.570961718020541</v>
      </c>
      <c r="G18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81" s="44" t="str">
        <f>IF(Tabla1[[#This Row],[FILTER_1]]="CONTES","EFECTIVO","NO EFECTIVO")</f>
        <v>EFECTIVO</v>
      </c>
      <c r="I181" s="44" t="str">
        <f>LEFT(Tabla1[[#This Row],[Tipificación]],6)</f>
        <v>CONTES</v>
      </c>
      <c r="J181" s="12" t="str">
        <f>IFERROR(VLOOKUP(Tabla1[[#This Row],[Subtipología]],' '!BU:BV,2,0),"NO EFECTIVA")</f>
        <v>NO EFECTIVA</v>
      </c>
    </row>
    <row r="182" spans="1:10" x14ac:dyDescent="0.25">
      <c r="A182" s="29">
        <v>45362</v>
      </c>
      <c r="B182" s="3" t="s">
        <v>36</v>
      </c>
      <c r="C182" s="12" t="s">
        <v>41</v>
      </c>
      <c r="D182" s="38">
        <v>229</v>
      </c>
      <c r="E182" s="7">
        <v>121.88333333333334</v>
      </c>
      <c r="F182" s="7">
        <v>31.934497816593886</v>
      </c>
      <c r="G18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82" s="44" t="str">
        <f>IF(Tabla1[[#This Row],[FILTER_1]]="CONTES","EFECTIVO","NO EFECTIVO")</f>
        <v>EFECTIVO</v>
      </c>
      <c r="I182" s="44" t="str">
        <f>LEFT(Tabla1[[#This Row],[Tipificación]],6)</f>
        <v>CONTES</v>
      </c>
      <c r="J182" s="12" t="str">
        <f>IFERROR(VLOOKUP(Tabla1[[#This Row],[Subtipología]],' '!BU:BV,2,0),"NO EFECTIVA")</f>
        <v>EFECTIVA</v>
      </c>
    </row>
    <row r="183" spans="1:10" x14ac:dyDescent="0.25">
      <c r="A183" s="29">
        <v>45362</v>
      </c>
      <c r="B183" s="3" t="s">
        <v>36</v>
      </c>
      <c r="C183" s="12" t="s">
        <v>42</v>
      </c>
      <c r="D183" s="38">
        <v>1108</v>
      </c>
      <c r="E183" s="7">
        <v>576.01666666666665</v>
      </c>
      <c r="F183" s="7">
        <v>31.192238267148014</v>
      </c>
      <c r="G18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83" s="44" t="str">
        <f>IF(Tabla1[[#This Row],[FILTER_1]]="CONTES","EFECTIVO","NO EFECTIVO")</f>
        <v>EFECTIVO</v>
      </c>
      <c r="I183" s="44" t="str">
        <f>LEFT(Tabla1[[#This Row],[Tipificación]],6)</f>
        <v>CONTES</v>
      </c>
      <c r="J183" s="12" t="str">
        <f>IFERROR(VLOOKUP(Tabla1[[#This Row],[Subtipología]],' '!BU:BV,2,0),"NO EFECTIVA")</f>
        <v>EFECTIVA</v>
      </c>
    </row>
    <row r="184" spans="1:10" x14ac:dyDescent="0.25">
      <c r="A184" s="29">
        <v>45362</v>
      </c>
      <c r="B184" s="3" t="s">
        <v>36</v>
      </c>
      <c r="C184" s="12" t="s">
        <v>43</v>
      </c>
      <c r="D184" s="38">
        <v>6907</v>
      </c>
      <c r="E184" s="7">
        <v>0</v>
      </c>
      <c r="G184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84" s="44" t="str">
        <f>IF(Tabla1[[#This Row],[FILTER_1]]="CONTES","EFECTIVO","NO EFECTIVO")</f>
        <v>NO EFECTIVO</v>
      </c>
      <c r="I184" s="44" t="str">
        <f>LEFT(Tabla1[[#This Row],[Tipificación]],6)</f>
        <v>ERROR</v>
      </c>
      <c r="J184" s="12" t="str">
        <f>IFERROR(VLOOKUP(Tabla1[[#This Row],[Subtipología]],' '!BU:BV,2,0),"NO EFECTIVA")</f>
        <v>NO EFECTIVA</v>
      </c>
    </row>
    <row r="185" spans="1:10" x14ac:dyDescent="0.25">
      <c r="A185" s="29">
        <v>45362</v>
      </c>
      <c r="B185" s="3" t="s">
        <v>36</v>
      </c>
      <c r="C185" s="12" t="s">
        <v>44</v>
      </c>
      <c r="D185" s="38">
        <v>6</v>
      </c>
      <c r="E185" s="7">
        <v>2.2999999999999998</v>
      </c>
      <c r="F185" s="7">
        <v>23</v>
      </c>
      <c r="G18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85" s="44" t="str">
        <f>IF(Tabla1[[#This Row],[FILTER_1]]="CONTES","EFECTIVO","NO EFECTIVO")</f>
        <v>EFECTIVO</v>
      </c>
      <c r="I185" s="44" t="str">
        <f>LEFT(Tabla1[[#This Row],[Tipificación]],6)</f>
        <v>CONTES</v>
      </c>
      <c r="J185" s="12" t="str">
        <f>IFERROR(VLOOKUP(Tabla1[[#This Row],[Subtipología]],' '!BU:BV,2,0),"NO EFECTIVA")</f>
        <v>EFECTIVA</v>
      </c>
    </row>
    <row r="186" spans="1:10" x14ac:dyDescent="0.25">
      <c r="A186" s="29">
        <v>45362</v>
      </c>
      <c r="B186" s="3" t="s">
        <v>36</v>
      </c>
      <c r="C186" s="12" t="s">
        <v>45</v>
      </c>
      <c r="D186" s="38">
        <v>47008</v>
      </c>
      <c r="E186" s="7">
        <v>64.86666666666666</v>
      </c>
      <c r="F186" s="7">
        <v>3.4290748898678416</v>
      </c>
      <c r="G18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86" s="44" t="str">
        <f>IF(Tabla1[[#This Row],[FILTER_1]]="CONTES","EFECTIVO","NO EFECTIVO")</f>
        <v>EFECTIVO</v>
      </c>
      <c r="I186" s="44" t="str">
        <f>LEFT(Tabla1[[#This Row],[Tipificación]],6)</f>
        <v>CONTES</v>
      </c>
      <c r="J186" s="12" t="str">
        <f>IFERROR(VLOOKUP(Tabla1[[#This Row],[Subtipología]],' '!BU:BV,2,0),"NO EFECTIVA")</f>
        <v>NO EFECTIVA</v>
      </c>
    </row>
    <row r="187" spans="1:10" x14ac:dyDescent="0.25">
      <c r="A187" s="29">
        <v>45362</v>
      </c>
      <c r="B187" s="3" t="s">
        <v>36</v>
      </c>
      <c r="C187" s="12" t="s">
        <v>46</v>
      </c>
      <c r="D187" s="38">
        <v>297</v>
      </c>
      <c r="E187" s="7">
        <v>133.91666666666666</v>
      </c>
      <c r="F187" s="7">
        <v>27.053872053872055</v>
      </c>
      <c r="G18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87" s="44" t="str">
        <f>IF(Tabla1[[#This Row],[FILTER_1]]="CONTES","EFECTIVO","NO EFECTIVO")</f>
        <v>EFECTIVO</v>
      </c>
      <c r="I187" s="44" t="str">
        <f>LEFT(Tabla1[[#This Row],[Tipificación]],6)</f>
        <v>CONTES</v>
      </c>
      <c r="J187" s="12" t="str">
        <f>IFERROR(VLOOKUP(Tabla1[[#This Row],[Subtipología]],' '!BU:BV,2,0),"NO EFECTIVA")</f>
        <v>EFECTIVA</v>
      </c>
    </row>
    <row r="188" spans="1:10" x14ac:dyDescent="0.25">
      <c r="A188" s="29">
        <v>45362</v>
      </c>
      <c r="B188" s="3" t="s">
        <v>36</v>
      </c>
      <c r="C188" s="12" t="s">
        <v>47</v>
      </c>
      <c r="D188" s="38">
        <v>901</v>
      </c>
      <c r="E188" s="7">
        <v>764.63333333333333</v>
      </c>
      <c r="F188" s="7">
        <v>50.918978912319645</v>
      </c>
      <c r="G18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88" s="44" t="str">
        <f>IF(Tabla1[[#This Row],[FILTER_1]]="CONTES","EFECTIVO","NO EFECTIVO")</f>
        <v>EFECTIVO</v>
      </c>
      <c r="I188" s="44" t="str">
        <f>LEFT(Tabla1[[#This Row],[Tipificación]],6)</f>
        <v>CONTES</v>
      </c>
      <c r="J188" s="12" t="str">
        <f>IFERROR(VLOOKUP(Tabla1[[#This Row],[Subtipología]],' '!BU:BV,2,0),"NO EFECTIVA")</f>
        <v>EFECTIVA</v>
      </c>
    </row>
    <row r="189" spans="1:10" x14ac:dyDescent="0.25">
      <c r="A189" s="29">
        <v>45362</v>
      </c>
      <c r="B189" s="3" t="s">
        <v>36</v>
      </c>
      <c r="C189" s="12" t="s">
        <v>48</v>
      </c>
      <c r="D189" s="38">
        <v>3</v>
      </c>
      <c r="E189" s="7">
        <v>1.2833333333333334</v>
      </c>
      <c r="F189" s="7">
        <v>25.666666666666668</v>
      </c>
      <c r="G18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89" s="44" t="str">
        <f>IF(Tabla1[[#This Row],[FILTER_1]]="CONTES","EFECTIVO","NO EFECTIVO")</f>
        <v>EFECTIVO</v>
      </c>
      <c r="I189" s="44" t="str">
        <f>LEFT(Tabla1[[#This Row],[Tipificación]],6)</f>
        <v>CONTES</v>
      </c>
      <c r="J189" s="12" t="str">
        <f>IFERROR(VLOOKUP(Tabla1[[#This Row],[Subtipología]],' '!BU:BV,2,0),"NO EFECTIVA")</f>
        <v>EFECTIVA</v>
      </c>
    </row>
    <row r="190" spans="1:10" x14ac:dyDescent="0.25">
      <c r="A190" s="29">
        <v>45364</v>
      </c>
      <c r="B190" s="3" t="s">
        <v>36</v>
      </c>
      <c r="C190" s="12" t="s">
        <v>37</v>
      </c>
      <c r="D190" s="38">
        <v>303</v>
      </c>
      <c r="E190" s="7">
        <v>151.38333333333333</v>
      </c>
      <c r="F190" s="7">
        <v>29.976897689768975</v>
      </c>
      <c r="G19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90" s="44" t="str">
        <f>IF(Tabla1[[#This Row],[FILTER_1]]="CONTES","EFECTIVO","NO EFECTIVO")</f>
        <v>EFECTIVO</v>
      </c>
      <c r="I190" s="44" t="str">
        <f>LEFT(Tabla1[[#This Row],[Tipificación]],6)</f>
        <v>CONTES</v>
      </c>
      <c r="J190" s="12" t="str">
        <f>IFERROR(VLOOKUP(Tabla1[[#This Row],[Subtipología]],' '!BU:BV,2,0),"NO EFECTIVA")</f>
        <v>NO EFECTIVA</v>
      </c>
    </row>
    <row r="191" spans="1:10" x14ac:dyDescent="0.25">
      <c r="A191" s="29">
        <v>45364</v>
      </c>
      <c r="B191" s="3" t="s">
        <v>36</v>
      </c>
      <c r="C191" s="12" t="s">
        <v>38</v>
      </c>
      <c r="D191" s="38">
        <v>1627</v>
      </c>
      <c r="E191" s="7">
        <v>841.2833333333333</v>
      </c>
      <c r="F191" s="7">
        <v>31.024585125998772</v>
      </c>
      <c r="G19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191" s="44" t="str">
        <f>IF(Tabla1[[#This Row],[FILTER_1]]="CONTES","EFECTIVO","NO EFECTIVO")</f>
        <v>EFECTIVO</v>
      </c>
      <c r="I191" s="44" t="str">
        <f>LEFT(Tabla1[[#This Row],[Tipificación]],6)</f>
        <v>CONTES</v>
      </c>
      <c r="J191" s="12" t="str">
        <f>IFERROR(VLOOKUP(Tabla1[[#This Row],[Subtipología]],' '!BU:BV,2,0),"NO EFECTIVA")</f>
        <v>NO EFECTIVA</v>
      </c>
    </row>
    <row r="192" spans="1:10" x14ac:dyDescent="0.25">
      <c r="A192" s="29">
        <v>45364</v>
      </c>
      <c r="B192" s="3" t="s">
        <v>36</v>
      </c>
      <c r="C192" s="12" t="s">
        <v>39</v>
      </c>
      <c r="D192" s="38">
        <v>28873</v>
      </c>
      <c r="E192" s="7">
        <v>1801.3</v>
      </c>
      <c r="F192" s="7">
        <v>3.7432203096318362</v>
      </c>
      <c r="G192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92" s="44" t="str">
        <f>IF(Tabla1[[#This Row],[FILTER_1]]="CONTES","EFECTIVO","NO EFECTIVO")</f>
        <v>NO EFECTIVO</v>
      </c>
      <c r="I192" s="44" t="str">
        <f>LEFT(Tabla1[[#This Row],[Tipificación]],6)</f>
        <v>ERROR</v>
      </c>
      <c r="J192" s="12" t="str">
        <f>IFERROR(VLOOKUP(Tabla1[[#This Row],[Subtipología]],' '!BU:BV,2,0),"NO EFECTIVA")</f>
        <v>NO EFECTIVA</v>
      </c>
    </row>
    <row r="193" spans="1:10" x14ac:dyDescent="0.25">
      <c r="A193" s="29">
        <v>45364</v>
      </c>
      <c r="B193" s="3" t="s">
        <v>36</v>
      </c>
      <c r="C193" s="12" t="s">
        <v>40</v>
      </c>
      <c r="D193" s="38">
        <v>2096</v>
      </c>
      <c r="E193" s="7">
        <v>404.18333333333334</v>
      </c>
      <c r="F193" s="7">
        <v>11.570133587786259</v>
      </c>
      <c r="G19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93" s="44" t="str">
        <f>IF(Tabla1[[#This Row],[FILTER_1]]="CONTES","EFECTIVO","NO EFECTIVO")</f>
        <v>EFECTIVO</v>
      </c>
      <c r="I193" s="44" t="str">
        <f>LEFT(Tabla1[[#This Row],[Tipificación]],6)</f>
        <v>CONTES</v>
      </c>
      <c r="J193" s="12" t="str">
        <f>IFERROR(VLOOKUP(Tabla1[[#This Row],[Subtipología]],' '!BU:BV,2,0),"NO EFECTIVA")</f>
        <v>NO EFECTIVA</v>
      </c>
    </row>
    <row r="194" spans="1:10" x14ac:dyDescent="0.25">
      <c r="A194" s="29">
        <v>45364</v>
      </c>
      <c r="B194" s="3" t="s">
        <v>36</v>
      </c>
      <c r="C194" s="12" t="s">
        <v>41</v>
      </c>
      <c r="D194" s="38">
        <v>217</v>
      </c>
      <c r="E194" s="7">
        <v>113.48333333333333</v>
      </c>
      <c r="F194" s="7">
        <v>31.377880184331797</v>
      </c>
      <c r="G19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94" s="44" t="str">
        <f>IF(Tabla1[[#This Row],[FILTER_1]]="CONTES","EFECTIVO","NO EFECTIVO")</f>
        <v>EFECTIVO</v>
      </c>
      <c r="I194" s="44" t="str">
        <f>LEFT(Tabla1[[#This Row],[Tipificación]],6)</f>
        <v>CONTES</v>
      </c>
      <c r="J194" s="12" t="str">
        <f>IFERROR(VLOOKUP(Tabla1[[#This Row],[Subtipología]],' '!BU:BV,2,0),"NO EFECTIVA")</f>
        <v>EFECTIVA</v>
      </c>
    </row>
    <row r="195" spans="1:10" x14ac:dyDescent="0.25">
      <c r="A195" s="29">
        <v>45364</v>
      </c>
      <c r="B195" s="3" t="s">
        <v>36</v>
      </c>
      <c r="C195" s="12" t="s">
        <v>42</v>
      </c>
      <c r="D195" s="38">
        <v>936</v>
      </c>
      <c r="E195" s="7">
        <v>479.1</v>
      </c>
      <c r="F195" s="7">
        <v>30.71153846153846</v>
      </c>
      <c r="G19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95" s="44" t="str">
        <f>IF(Tabla1[[#This Row],[FILTER_1]]="CONTES","EFECTIVO","NO EFECTIVO")</f>
        <v>EFECTIVO</v>
      </c>
      <c r="I195" s="44" t="str">
        <f>LEFT(Tabla1[[#This Row],[Tipificación]],6)</f>
        <v>CONTES</v>
      </c>
      <c r="J195" s="12" t="str">
        <f>IFERROR(VLOOKUP(Tabla1[[#This Row],[Subtipología]],' '!BU:BV,2,0),"NO EFECTIVA")</f>
        <v>EFECTIVA</v>
      </c>
    </row>
    <row r="196" spans="1:10" x14ac:dyDescent="0.25">
      <c r="A196" s="29">
        <v>45364</v>
      </c>
      <c r="B196" s="3" t="s">
        <v>36</v>
      </c>
      <c r="C196" s="12" t="s">
        <v>43</v>
      </c>
      <c r="D196" s="38">
        <v>2245</v>
      </c>
      <c r="E196" s="7">
        <v>0</v>
      </c>
      <c r="G196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196" s="44" t="str">
        <f>IF(Tabla1[[#This Row],[FILTER_1]]="CONTES","EFECTIVO","NO EFECTIVO")</f>
        <v>NO EFECTIVO</v>
      </c>
      <c r="I196" s="44" t="str">
        <f>LEFT(Tabla1[[#This Row],[Tipificación]],6)</f>
        <v>ERROR</v>
      </c>
      <c r="J196" s="12" t="str">
        <f>IFERROR(VLOOKUP(Tabla1[[#This Row],[Subtipología]],' '!BU:BV,2,0),"NO EFECTIVA")</f>
        <v>NO EFECTIVA</v>
      </c>
    </row>
    <row r="197" spans="1:10" x14ac:dyDescent="0.25">
      <c r="A197" s="29">
        <v>45364</v>
      </c>
      <c r="B197" s="3" t="s">
        <v>36</v>
      </c>
      <c r="C197" s="12" t="s">
        <v>44</v>
      </c>
      <c r="D197" s="38">
        <v>8</v>
      </c>
      <c r="E197" s="7">
        <v>2.9333333333333331</v>
      </c>
      <c r="F197" s="7">
        <v>22</v>
      </c>
      <c r="G19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97" s="44" t="str">
        <f>IF(Tabla1[[#This Row],[FILTER_1]]="CONTES","EFECTIVO","NO EFECTIVO")</f>
        <v>EFECTIVO</v>
      </c>
      <c r="I197" s="44" t="str">
        <f>LEFT(Tabla1[[#This Row],[Tipificación]],6)</f>
        <v>CONTES</v>
      </c>
      <c r="J197" s="12" t="str">
        <f>IFERROR(VLOOKUP(Tabla1[[#This Row],[Subtipología]],' '!BU:BV,2,0),"NO EFECTIVA")</f>
        <v>EFECTIVA</v>
      </c>
    </row>
    <row r="198" spans="1:10" x14ac:dyDescent="0.25">
      <c r="A198" s="29">
        <v>45364</v>
      </c>
      <c r="B198" s="3" t="s">
        <v>36</v>
      </c>
      <c r="C198" s="12" t="s">
        <v>45</v>
      </c>
      <c r="D198" s="38">
        <v>39804</v>
      </c>
      <c r="E198" s="7">
        <v>67.733333333333334</v>
      </c>
      <c r="F198" s="7">
        <v>3.3923205342237064</v>
      </c>
      <c r="G19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198" s="44" t="str">
        <f>IF(Tabla1[[#This Row],[FILTER_1]]="CONTES","EFECTIVO","NO EFECTIVO")</f>
        <v>EFECTIVO</v>
      </c>
      <c r="I198" s="44" t="str">
        <f>LEFT(Tabla1[[#This Row],[Tipificación]],6)</f>
        <v>CONTES</v>
      </c>
      <c r="J198" s="12" t="str">
        <f>IFERROR(VLOOKUP(Tabla1[[#This Row],[Subtipología]],' '!BU:BV,2,0),"NO EFECTIVA")</f>
        <v>NO EFECTIVA</v>
      </c>
    </row>
    <row r="199" spans="1:10" x14ac:dyDescent="0.25">
      <c r="A199" s="29">
        <v>45364</v>
      </c>
      <c r="B199" s="3" t="s">
        <v>36</v>
      </c>
      <c r="C199" s="12" t="s">
        <v>46</v>
      </c>
      <c r="D199" s="38">
        <v>261</v>
      </c>
      <c r="E199" s="7">
        <v>116.83333333333333</v>
      </c>
      <c r="F199" s="7">
        <v>26.85823754789272</v>
      </c>
      <c r="G19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199" s="44" t="str">
        <f>IF(Tabla1[[#This Row],[FILTER_1]]="CONTES","EFECTIVO","NO EFECTIVO")</f>
        <v>EFECTIVO</v>
      </c>
      <c r="I199" s="44" t="str">
        <f>LEFT(Tabla1[[#This Row],[Tipificación]],6)</f>
        <v>CONTES</v>
      </c>
      <c r="J199" s="12" t="str">
        <f>IFERROR(VLOOKUP(Tabla1[[#This Row],[Subtipología]],' '!BU:BV,2,0),"NO EFECTIVA")</f>
        <v>EFECTIVA</v>
      </c>
    </row>
    <row r="200" spans="1:10" x14ac:dyDescent="0.25">
      <c r="A200" s="29">
        <v>45364</v>
      </c>
      <c r="B200" s="3" t="s">
        <v>36</v>
      </c>
      <c r="C200" s="12" t="s">
        <v>47</v>
      </c>
      <c r="D200" s="38">
        <v>1202</v>
      </c>
      <c r="E200" s="7">
        <v>985.93333333333328</v>
      </c>
      <c r="F200" s="7">
        <v>49.214642262895175</v>
      </c>
      <c r="G20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00" s="44" t="str">
        <f>IF(Tabla1[[#This Row],[FILTER_1]]="CONTES","EFECTIVO","NO EFECTIVO")</f>
        <v>EFECTIVO</v>
      </c>
      <c r="I200" s="44" t="str">
        <f>LEFT(Tabla1[[#This Row],[Tipificación]],6)</f>
        <v>CONTES</v>
      </c>
      <c r="J200" s="12" t="str">
        <f>IFERROR(VLOOKUP(Tabla1[[#This Row],[Subtipología]],' '!BU:BV,2,0),"NO EFECTIVA")</f>
        <v>EFECTIVA</v>
      </c>
    </row>
    <row r="201" spans="1:10" x14ac:dyDescent="0.25">
      <c r="A201" s="29">
        <v>45364</v>
      </c>
      <c r="B201" s="3" t="s">
        <v>36</v>
      </c>
      <c r="C201" s="12" t="s">
        <v>48</v>
      </c>
      <c r="D201" s="38">
        <v>7</v>
      </c>
      <c r="E201" s="7">
        <v>2.0666666666666669</v>
      </c>
      <c r="F201" s="7">
        <v>17.714285714285715</v>
      </c>
      <c r="G20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01" s="44" t="str">
        <f>IF(Tabla1[[#This Row],[FILTER_1]]="CONTES","EFECTIVO","NO EFECTIVO")</f>
        <v>EFECTIVO</v>
      </c>
      <c r="I201" s="44" t="str">
        <f>LEFT(Tabla1[[#This Row],[Tipificación]],6)</f>
        <v>CONTES</v>
      </c>
      <c r="J201" s="12" t="str">
        <f>IFERROR(VLOOKUP(Tabla1[[#This Row],[Subtipología]],' '!BU:BV,2,0),"NO EFECTIVA")</f>
        <v>EFECTIVA</v>
      </c>
    </row>
    <row r="202" spans="1:10" x14ac:dyDescent="0.25">
      <c r="A202" s="29">
        <v>45375</v>
      </c>
      <c r="B202" s="3" t="s">
        <v>36</v>
      </c>
      <c r="C202" s="12" t="s">
        <v>37</v>
      </c>
      <c r="D202" s="38">
        <v>86</v>
      </c>
      <c r="E202" s="7">
        <v>37.5</v>
      </c>
      <c r="F202" s="7">
        <v>26.162790697674417</v>
      </c>
      <c r="G20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02" s="44" t="str">
        <f>IF(Tabla1[[#This Row],[FILTER_1]]="CONTES","EFECTIVO","NO EFECTIVO")</f>
        <v>EFECTIVO</v>
      </c>
      <c r="I202" s="44" t="str">
        <f>LEFT(Tabla1[[#This Row],[Tipificación]],6)</f>
        <v>CONTES</v>
      </c>
      <c r="J202" s="12" t="str">
        <f>IFERROR(VLOOKUP(Tabla1[[#This Row],[Subtipología]],' '!BU:BV,2,0),"NO EFECTIVA")</f>
        <v>NO EFECTIVA</v>
      </c>
    </row>
    <row r="203" spans="1:10" x14ac:dyDescent="0.25">
      <c r="A203" s="29">
        <v>45375</v>
      </c>
      <c r="B203" s="3" t="s">
        <v>36</v>
      </c>
      <c r="C203" s="12" t="s">
        <v>38</v>
      </c>
      <c r="D203" s="38">
        <v>826</v>
      </c>
      <c r="E203" s="7">
        <v>423.93333333333334</v>
      </c>
      <c r="F203" s="7">
        <v>30.794188861985472</v>
      </c>
      <c r="G20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203" s="44" t="str">
        <f>IF(Tabla1[[#This Row],[FILTER_1]]="CONTES","EFECTIVO","NO EFECTIVO")</f>
        <v>EFECTIVO</v>
      </c>
      <c r="I203" s="44" t="str">
        <f>LEFT(Tabla1[[#This Row],[Tipificación]],6)</f>
        <v>CONTES</v>
      </c>
      <c r="J203" s="12" t="str">
        <f>IFERROR(VLOOKUP(Tabla1[[#This Row],[Subtipología]],' '!BU:BV,2,0),"NO EFECTIVA")</f>
        <v>NO EFECTIVA</v>
      </c>
    </row>
    <row r="204" spans="1:10" x14ac:dyDescent="0.25">
      <c r="A204" s="29">
        <v>45375</v>
      </c>
      <c r="B204" s="3" t="s">
        <v>36</v>
      </c>
      <c r="C204" s="12" t="s">
        <v>39</v>
      </c>
      <c r="D204" s="38">
        <v>7874</v>
      </c>
      <c r="E204" s="7">
        <v>405.8</v>
      </c>
      <c r="F204" s="7">
        <v>3.092202184404369</v>
      </c>
      <c r="G204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204" s="44" t="str">
        <f>IF(Tabla1[[#This Row],[FILTER_1]]="CONTES","EFECTIVO","NO EFECTIVO")</f>
        <v>NO EFECTIVO</v>
      </c>
      <c r="I204" s="44" t="str">
        <f>LEFT(Tabla1[[#This Row],[Tipificación]],6)</f>
        <v>ERROR</v>
      </c>
      <c r="J204" s="12" t="str">
        <f>IFERROR(VLOOKUP(Tabla1[[#This Row],[Subtipología]],' '!BU:BV,2,0),"NO EFECTIVA")</f>
        <v>NO EFECTIVA</v>
      </c>
    </row>
    <row r="205" spans="1:10" x14ac:dyDescent="0.25">
      <c r="A205" s="29">
        <v>45375</v>
      </c>
      <c r="B205" s="3" t="s">
        <v>36</v>
      </c>
      <c r="C205" s="12" t="s">
        <v>40</v>
      </c>
      <c r="D205" s="38">
        <v>850</v>
      </c>
      <c r="E205" s="7">
        <v>168.35</v>
      </c>
      <c r="F205" s="7">
        <v>11.883529411764705</v>
      </c>
      <c r="G20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05" s="44" t="str">
        <f>IF(Tabla1[[#This Row],[FILTER_1]]="CONTES","EFECTIVO","NO EFECTIVO")</f>
        <v>EFECTIVO</v>
      </c>
      <c r="I205" s="44" t="str">
        <f>LEFT(Tabla1[[#This Row],[Tipificación]],6)</f>
        <v>CONTES</v>
      </c>
      <c r="J205" s="12" t="str">
        <f>IFERROR(VLOOKUP(Tabla1[[#This Row],[Subtipología]],' '!BU:BV,2,0),"NO EFECTIVA")</f>
        <v>NO EFECTIVA</v>
      </c>
    </row>
    <row r="206" spans="1:10" x14ac:dyDescent="0.25">
      <c r="A206" s="29">
        <v>45375</v>
      </c>
      <c r="B206" s="3" t="s">
        <v>36</v>
      </c>
      <c r="C206" s="12" t="s">
        <v>41</v>
      </c>
      <c r="D206" s="38">
        <v>102</v>
      </c>
      <c r="E206" s="7">
        <v>53.06666666666667</v>
      </c>
      <c r="F206" s="7">
        <v>31.215686274509803</v>
      </c>
      <c r="G20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06" s="44" t="str">
        <f>IF(Tabla1[[#This Row],[FILTER_1]]="CONTES","EFECTIVO","NO EFECTIVO")</f>
        <v>EFECTIVO</v>
      </c>
      <c r="I206" s="44" t="str">
        <f>LEFT(Tabla1[[#This Row],[Tipificación]],6)</f>
        <v>CONTES</v>
      </c>
      <c r="J206" s="12" t="str">
        <f>IFERROR(VLOOKUP(Tabla1[[#This Row],[Subtipología]],' '!BU:BV,2,0),"NO EFECTIVA")</f>
        <v>EFECTIVA</v>
      </c>
    </row>
    <row r="207" spans="1:10" x14ac:dyDescent="0.25">
      <c r="A207" s="29">
        <v>45375</v>
      </c>
      <c r="B207" s="3" t="s">
        <v>36</v>
      </c>
      <c r="C207" s="12" t="s">
        <v>42</v>
      </c>
      <c r="D207" s="38">
        <v>1256</v>
      </c>
      <c r="E207" s="7">
        <v>625.45000000000005</v>
      </c>
      <c r="F207" s="7">
        <v>29.878184713375795</v>
      </c>
      <c r="G20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07" s="44" t="str">
        <f>IF(Tabla1[[#This Row],[FILTER_1]]="CONTES","EFECTIVO","NO EFECTIVO")</f>
        <v>EFECTIVO</v>
      </c>
      <c r="I207" s="44" t="str">
        <f>LEFT(Tabla1[[#This Row],[Tipificación]],6)</f>
        <v>CONTES</v>
      </c>
      <c r="J207" s="12" t="str">
        <f>IFERROR(VLOOKUP(Tabla1[[#This Row],[Subtipología]],' '!BU:BV,2,0),"NO EFECTIVA")</f>
        <v>EFECTIVA</v>
      </c>
    </row>
    <row r="208" spans="1:10" x14ac:dyDescent="0.25">
      <c r="A208" s="29">
        <v>45375</v>
      </c>
      <c r="B208" s="3" t="s">
        <v>36</v>
      </c>
      <c r="C208" s="12" t="s">
        <v>49</v>
      </c>
      <c r="D208" s="38">
        <v>192</v>
      </c>
      <c r="E208" s="7">
        <v>0</v>
      </c>
      <c r="G208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208" s="44" t="str">
        <f>IF(Tabla1[[#This Row],[FILTER_1]]="CONTES","EFECTIVO","NO EFECTIVO")</f>
        <v>NO EFECTIVO</v>
      </c>
      <c r="I208" s="44" t="str">
        <f>LEFT(Tabla1[[#This Row],[Tipificación]],6)</f>
        <v>ERROR</v>
      </c>
      <c r="J208" s="12" t="str">
        <f>IFERROR(VLOOKUP(Tabla1[[#This Row],[Subtipología]],' '!BU:BV,2,0),"NO EFECTIVA")</f>
        <v>NO EFECTIVA</v>
      </c>
    </row>
    <row r="209" spans="1:12" x14ac:dyDescent="0.25">
      <c r="A209" s="29">
        <v>45375</v>
      </c>
      <c r="B209" s="3" t="s">
        <v>36</v>
      </c>
      <c r="C209" s="12" t="s">
        <v>44</v>
      </c>
      <c r="D209" s="38">
        <v>3</v>
      </c>
      <c r="E209" s="7">
        <v>1.2833333333333334</v>
      </c>
      <c r="F209" s="7">
        <v>25.666666666666668</v>
      </c>
      <c r="G20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09" s="44" t="str">
        <f>IF(Tabla1[[#This Row],[FILTER_1]]="CONTES","EFECTIVO","NO EFECTIVO")</f>
        <v>EFECTIVO</v>
      </c>
      <c r="I209" s="44" t="str">
        <f>LEFT(Tabla1[[#This Row],[Tipificación]],6)</f>
        <v>CONTES</v>
      </c>
      <c r="J209" s="12" t="str">
        <f>IFERROR(VLOOKUP(Tabla1[[#This Row],[Subtipología]],' '!BU:BV,2,0),"NO EFECTIVA")</f>
        <v>EFECTIVA</v>
      </c>
    </row>
    <row r="210" spans="1:12" x14ac:dyDescent="0.25">
      <c r="A210" s="29">
        <v>45375</v>
      </c>
      <c r="B210" s="3" t="s">
        <v>36</v>
      </c>
      <c r="C210" s="12" t="s">
        <v>45</v>
      </c>
      <c r="D210" s="38">
        <v>20149</v>
      </c>
      <c r="E210" s="7">
        <v>15.483333333333333</v>
      </c>
      <c r="F210" s="7">
        <v>2.9305993690851735</v>
      </c>
      <c r="G21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10" s="44" t="str">
        <f>IF(Tabla1[[#This Row],[FILTER_1]]="CONTES","EFECTIVO","NO EFECTIVO")</f>
        <v>EFECTIVO</v>
      </c>
      <c r="I210" s="44" t="str">
        <f>LEFT(Tabla1[[#This Row],[Tipificación]],6)</f>
        <v>CONTES</v>
      </c>
      <c r="J210" s="12" t="str">
        <f>IFERROR(VLOOKUP(Tabla1[[#This Row],[Subtipología]],' '!BU:BV,2,0),"NO EFECTIVA")</f>
        <v>NO EFECTIVA</v>
      </c>
    </row>
    <row r="211" spans="1:12" x14ac:dyDescent="0.25">
      <c r="A211" s="29">
        <v>45375</v>
      </c>
      <c r="B211" s="3" t="s">
        <v>36</v>
      </c>
      <c r="C211" s="12" t="s">
        <v>46</v>
      </c>
      <c r="D211" s="38">
        <v>35</v>
      </c>
      <c r="E211" s="7">
        <v>15.533333333333333</v>
      </c>
      <c r="F211" s="7">
        <v>26.62857142857143</v>
      </c>
      <c r="G21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11" s="44" t="str">
        <f>IF(Tabla1[[#This Row],[FILTER_1]]="CONTES","EFECTIVO","NO EFECTIVO")</f>
        <v>EFECTIVO</v>
      </c>
      <c r="I211" s="44" t="str">
        <f>LEFT(Tabla1[[#This Row],[Tipificación]],6)</f>
        <v>CONTES</v>
      </c>
      <c r="J211" s="12" t="str">
        <f>IFERROR(VLOOKUP(Tabla1[[#This Row],[Subtipología]],' '!BU:BV,2,0),"NO EFECTIVA")</f>
        <v>EFECTIVA</v>
      </c>
    </row>
    <row r="212" spans="1:12" x14ac:dyDescent="0.25">
      <c r="A212" s="29">
        <v>45375</v>
      </c>
      <c r="B212" s="3" t="s">
        <v>36</v>
      </c>
      <c r="C212" s="12" t="s">
        <v>47</v>
      </c>
      <c r="D212" s="38">
        <v>63</v>
      </c>
      <c r="E212" s="7">
        <v>52.633333333333333</v>
      </c>
      <c r="F212" s="7">
        <v>50.126984126984127</v>
      </c>
      <c r="G21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12" s="44" t="str">
        <f>IF(Tabla1[[#This Row],[FILTER_1]]="CONTES","EFECTIVO","NO EFECTIVO")</f>
        <v>EFECTIVO</v>
      </c>
      <c r="I212" s="44" t="str">
        <f>LEFT(Tabla1[[#This Row],[Tipificación]],6)</f>
        <v>CONTES</v>
      </c>
      <c r="J212" s="12" t="str">
        <f>IFERROR(VLOOKUP(Tabla1[[#This Row],[Subtipología]],' '!BU:BV,2,0),"NO EFECTIVA")</f>
        <v>EFECTIVA</v>
      </c>
    </row>
    <row r="213" spans="1:12" x14ac:dyDescent="0.25">
      <c r="A213" s="29">
        <v>45378</v>
      </c>
      <c r="B213" s="3" t="s">
        <v>36</v>
      </c>
      <c r="C213" s="12" t="s">
        <v>37</v>
      </c>
      <c r="D213" s="38">
        <v>355</v>
      </c>
      <c r="E213" s="7">
        <v>178.65</v>
      </c>
      <c r="F213" s="7">
        <v>30.194366197183097</v>
      </c>
      <c r="G21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13" s="44" t="str">
        <f>IF(Tabla1[[#This Row],[FILTER_1]]="CONTES","EFECTIVO","NO EFECTIVO")</f>
        <v>EFECTIVO</v>
      </c>
      <c r="I213" s="44" t="str">
        <f>LEFT(Tabla1[[#This Row],[Tipificación]],6)</f>
        <v>CONTES</v>
      </c>
      <c r="J213" s="12" t="str">
        <f>IFERROR(VLOOKUP(Tabla1[[#This Row],[Subtipología]],' '!BU:BV,2,0),"NO EFECTIVA")</f>
        <v>NO EFECTIVA</v>
      </c>
    </row>
    <row r="214" spans="1:12" x14ac:dyDescent="0.25">
      <c r="A214" s="29">
        <v>45378</v>
      </c>
      <c r="B214" s="3" t="s">
        <v>36</v>
      </c>
      <c r="C214" s="12" t="s">
        <v>38</v>
      </c>
      <c r="D214" s="38">
        <v>2653</v>
      </c>
      <c r="E214" s="7">
        <v>1379.2</v>
      </c>
      <c r="F214" s="7">
        <v>31.191858273652468</v>
      </c>
      <c r="G21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214" s="44" t="str">
        <f>IF(Tabla1[[#This Row],[FILTER_1]]="CONTES","EFECTIVO","NO EFECTIVO")</f>
        <v>EFECTIVO</v>
      </c>
      <c r="I214" s="44" t="str">
        <f>LEFT(Tabla1[[#This Row],[Tipificación]],6)</f>
        <v>CONTES</v>
      </c>
      <c r="J214" s="12" t="str">
        <f>IFERROR(VLOOKUP(Tabla1[[#This Row],[Subtipología]],' '!BU:BV,2,0),"NO EFECTIVA")</f>
        <v>NO EFECTIVA</v>
      </c>
    </row>
    <row r="215" spans="1:12" x14ac:dyDescent="0.25">
      <c r="A215" s="29">
        <v>45378</v>
      </c>
      <c r="B215" s="3" t="s">
        <v>36</v>
      </c>
      <c r="C215" s="12" t="s">
        <v>39</v>
      </c>
      <c r="D215" s="38">
        <v>20062</v>
      </c>
      <c r="E215" s="7">
        <v>1456.4666666666667</v>
      </c>
      <c r="F215" s="7">
        <v>4.3558967201674808</v>
      </c>
      <c r="G215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215" s="44" t="str">
        <f>IF(Tabla1[[#This Row],[FILTER_1]]="CONTES","EFECTIVO","NO EFECTIVO")</f>
        <v>NO EFECTIVO</v>
      </c>
      <c r="I215" s="44" t="str">
        <f>LEFT(Tabla1[[#This Row],[Tipificación]],6)</f>
        <v>ERROR</v>
      </c>
      <c r="J215" s="12" t="str">
        <f>IFERROR(VLOOKUP(Tabla1[[#This Row],[Subtipología]],' '!BU:BV,2,0),"NO EFECTIVA")</f>
        <v>NO EFECTIVA</v>
      </c>
    </row>
    <row r="216" spans="1:12" x14ac:dyDescent="0.25">
      <c r="A216" s="29">
        <v>45378</v>
      </c>
      <c r="B216" s="3" t="s">
        <v>36</v>
      </c>
      <c r="C216" s="12" t="s">
        <v>40</v>
      </c>
      <c r="D216" s="38">
        <v>2189</v>
      </c>
      <c r="E216" s="7">
        <v>455.5</v>
      </c>
      <c r="F216" s="7">
        <v>12.485153037916858</v>
      </c>
      <c r="G21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16" s="44" t="str">
        <f>IF(Tabla1[[#This Row],[FILTER_1]]="CONTES","EFECTIVO","NO EFECTIVO")</f>
        <v>EFECTIVO</v>
      </c>
      <c r="I216" s="44" t="str">
        <f>LEFT(Tabla1[[#This Row],[Tipificación]],6)</f>
        <v>CONTES</v>
      </c>
      <c r="J216" s="12" t="str">
        <f>IFERROR(VLOOKUP(Tabla1[[#This Row],[Subtipología]],' '!BU:BV,2,0),"NO EFECTIVA")</f>
        <v>NO EFECTIVA</v>
      </c>
    </row>
    <row r="217" spans="1:12" x14ac:dyDescent="0.25">
      <c r="A217" s="29">
        <v>45378</v>
      </c>
      <c r="B217" s="3" t="s">
        <v>36</v>
      </c>
      <c r="C217" s="12" t="s">
        <v>41</v>
      </c>
      <c r="D217" s="38">
        <v>308</v>
      </c>
      <c r="E217" s="7">
        <v>159.25</v>
      </c>
      <c r="F217" s="7">
        <v>31.022727272727273</v>
      </c>
      <c r="G217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17" s="44" t="str">
        <f>IF(Tabla1[[#This Row],[FILTER_1]]="CONTES","EFECTIVO","NO EFECTIVO")</f>
        <v>EFECTIVO</v>
      </c>
      <c r="I217" s="44" t="str">
        <f>LEFT(Tabla1[[#This Row],[Tipificación]],6)</f>
        <v>CONTES</v>
      </c>
      <c r="J217" s="12" t="str">
        <f>IFERROR(VLOOKUP(Tabla1[[#This Row],[Subtipología]],' '!BU:BV,2,0),"NO EFECTIVA")</f>
        <v>EFECTIVA</v>
      </c>
    </row>
    <row r="218" spans="1:12" x14ac:dyDescent="0.25">
      <c r="A218" s="29">
        <v>45378</v>
      </c>
      <c r="B218" s="3" t="s">
        <v>36</v>
      </c>
      <c r="C218" s="12" t="s">
        <v>42</v>
      </c>
      <c r="D218" s="38">
        <v>1215</v>
      </c>
      <c r="E218" s="7">
        <v>625.73333333333335</v>
      </c>
      <c r="F218" s="7">
        <v>30.900411522633746</v>
      </c>
      <c r="G21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18" s="44" t="str">
        <f>IF(Tabla1[[#This Row],[FILTER_1]]="CONTES","EFECTIVO","NO EFECTIVO")</f>
        <v>EFECTIVO</v>
      </c>
      <c r="I218" s="44" t="str">
        <f>LEFT(Tabla1[[#This Row],[Tipificación]],6)</f>
        <v>CONTES</v>
      </c>
      <c r="J218" s="12" t="str">
        <f>IFERROR(VLOOKUP(Tabla1[[#This Row],[Subtipología]],' '!BU:BV,2,0),"NO EFECTIVA")</f>
        <v>EFECTIVA</v>
      </c>
    </row>
    <row r="219" spans="1:12" x14ac:dyDescent="0.25">
      <c r="A219" s="29">
        <v>45378</v>
      </c>
      <c r="B219" s="3" t="s">
        <v>36</v>
      </c>
      <c r="C219" s="12" t="s">
        <v>43</v>
      </c>
      <c r="D219" s="38">
        <v>5803</v>
      </c>
      <c r="E219" s="7">
        <v>0</v>
      </c>
      <c r="G219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219" s="44" t="str">
        <f>IF(Tabla1[[#This Row],[FILTER_1]]="CONTES","EFECTIVO","NO EFECTIVO")</f>
        <v>NO EFECTIVO</v>
      </c>
      <c r="I219" s="44" t="str">
        <f>LEFT(Tabla1[[#This Row],[Tipificación]],6)</f>
        <v>ERROR</v>
      </c>
      <c r="J219" s="12" t="str">
        <f>IFERROR(VLOOKUP(Tabla1[[#This Row],[Subtipología]],' '!BU:BV,2,0),"NO EFECTIVA")</f>
        <v>NO EFECTIVA</v>
      </c>
    </row>
    <row r="220" spans="1:12" x14ac:dyDescent="0.25">
      <c r="A220" s="29">
        <v>45378</v>
      </c>
      <c r="B220" s="3" t="s">
        <v>36</v>
      </c>
      <c r="C220" s="12" t="s">
        <v>44</v>
      </c>
      <c r="D220" s="38">
        <v>10</v>
      </c>
      <c r="E220" s="7">
        <v>3.5833333333333335</v>
      </c>
      <c r="F220" s="7">
        <v>21.5</v>
      </c>
      <c r="G22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20" s="44" t="str">
        <f>IF(Tabla1[[#This Row],[FILTER_1]]="CONTES","EFECTIVO","NO EFECTIVO")</f>
        <v>EFECTIVO</v>
      </c>
      <c r="I220" s="44" t="str">
        <f>LEFT(Tabla1[[#This Row],[Tipificación]],6)</f>
        <v>CONTES</v>
      </c>
      <c r="J220" s="12" t="str">
        <f>IFERROR(VLOOKUP(Tabla1[[#This Row],[Subtipología]],' '!BU:BV,2,0),"NO EFECTIVA")</f>
        <v>EFECTIVA</v>
      </c>
      <c r="L220" s="5"/>
    </row>
    <row r="221" spans="1:12" x14ac:dyDescent="0.25">
      <c r="A221" s="29">
        <v>45378</v>
      </c>
      <c r="B221" s="3" t="s">
        <v>36</v>
      </c>
      <c r="C221" s="12" t="s">
        <v>45</v>
      </c>
      <c r="D221" s="38">
        <v>41579</v>
      </c>
      <c r="E221" s="7">
        <v>38</v>
      </c>
      <c r="F221" s="7">
        <v>3.7561779242174631</v>
      </c>
      <c r="G221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21" s="44" t="str">
        <f>IF(Tabla1[[#This Row],[FILTER_1]]="CONTES","EFECTIVO","NO EFECTIVO")</f>
        <v>EFECTIVO</v>
      </c>
      <c r="I221" s="44" t="str">
        <f>LEFT(Tabla1[[#This Row],[Tipificación]],6)</f>
        <v>CONTES</v>
      </c>
      <c r="J221" s="12" t="str">
        <f>IFERROR(VLOOKUP(Tabla1[[#This Row],[Subtipología]],' '!BU:BV,2,0),"NO EFECTIVA")</f>
        <v>NO EFECTIVA</v>
      </c>
      <c r="L221" s="5"/>
    </row>
    <row r="222" spans="1:12" x14ac:dyDescent="0.25">
      <c r="A222" s="29">
        <v>45378</v>
      </c>
      <c r="B222" s="3" t="s">
        <v>36</v>
      </c>
      <c r="C222" s="12" t="s">
        <v>46</v>
      </c>
      <c r="D222" s="38">
        <v>467</v>
      </c>
      <c r="E222" s="7">
        <v>208.65</v>
      </c>
      <c r="F222" s="7">
        <v>26.807280513918631</v>
      </c>
      <c r="G22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22" s="44" t="str">
        <f>IF(Tabla1[[#This Row],[FILTER_1]]="CONTES","EFECTIVO","NO EFECTIVO")</f>
        <v>EFECTIVO</v>
      </c>
      <c r="I222" s="44" t="str">
        <f>LEFT(Tabla1[[#This Row],[Tipificación]],6)</f>
        <v>CONTES</v>
      </c>
      <c r="J222" s="12" t="str">
        <f>IFERROR(VLOOKUP(Tabla1[[#This Row],[Subtipología]],' '!BU:BV,2,0),"NO EFECTIVA")</f>
        <v>EFECTIVA</v>
      </c>
      <c r="L222" s="5"/>
    </row>
    <row r="223" spans="1:12" x14ac:dyDescent="0.25">
      <c r="A223" s="29">
        <v>45378</v>
      </c>
      <c r="B223" s="3" t="s">
        <v>36</v>
      </c>
      <c r="C223" s="12" t="s">
        <v>47</v>
      </c>
      <c r="D223" s="38">
        <v>1679</v>
      </c>
      <c r="E223" s="7">
        <v>1386.7333333333333</v>
      </c>
      <c r="F223" s="7">
        <v>49.555687909469924</v>
      </c>
      <c r="G22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23" s="44" t="str">
        <f>IF(Tabla1[[#This Row],[FILTER_1]]="CONTES","EFECTIVO","NO EFECTIVO")</f>
        <v>EFECTIVO</v>
      </c>
      <c r="I223" s="44" t="str">
        <f>LEFT(Tabla1[[#This Row],[Tipificación]],6)</f>
        <v>CONTES</v>
      </c>
      <c r="J223" s="12" t="str">
        <f>IFERROR(VLOOKUP(Tabla1[[#This Row],[Subtipología]],' '!BU:BV,2,0),"NO EFECTIVA")</f>
        <v>EFECTIVA</v>
      </c>
      <c r="L223" s="5"/>
    </row>
    <row r="224" spans="1:12" x14ac:dyDescent="0.25">
      <c r="A224" s="29">
        <v>45378</v>
      </c>
      <c r="B224" s="3" t="s">
        <v>36</v>
      </c>
      <c r="C224" s="12" t="s">
        <v>48</v>
      </c>
      <c r="D224" s="38">
        <v>22</v>
      </c>
      <c r="E224" s="7">
        <v>7.3166666666666664</v>
      </c>
      <c r="F224" s="7">
        <v>19.954545454545453</v>
      </c>
      <c r="G22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24" s="44" t="str">
        <f>IF(Tabla1[[#This Row],[FILTER_1]]="CONTES","EFECTIVO","NO EFECTIVO")</f>
        <v>EFECTIVO</v>
      </c>
      <c r="I224" s="44" t="str">
        <f>LEFT(Tabla1[[#This Row],[Tipificación]],6)</f>
        <v>CONTES</v>
      </c>
      <c r="J224" s="12" t="str">
        <f>IFERROR(VLOOKUP(Tabla1[[#This Row],[Subtipología]],' '!BU:BV,2,0),"NO EFECTIVA")</f>
        <v>EFECTIVA</v>
      </c>
      <c r="L224" s="5"/>
    </row>
    <row r="225" spans="1:12" x14ac:dyDescent="0.25">
      <c r="A225" s="29">
        <v>45379</v>
      </c>
      <c r="B225" s="3" t="s">
        <v>36</v>
      </c>
      <c r="C225" s="12" t="s">
        <v>37</v>
      </c>
      <c r="D225" s="38">
        <v>276</v>
      </c>
      <c r="E225" s="7">
        <v>143.91666666666666</v>
      </c>
      <c r="F225" s="7">
        <v>31.286231884057973</v>
      </c>
      <c r="G22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25" s="44" t="str">
        <f>IF(Tabla1[[#This Row],[FILTER_1]]="CONTES","EFECTIVO","NO EFECTIVO")</f>
        <v>EFECTIVO</v>
      </c>
      <c r="I225" s="44" t="str">
        <f>LEFT(Tabla1[[#This Row],[Tipificación]],6)</f>
        <v>CONTES</v>
      </c>
      <c r="J225" s="12" t="str">
        <f>IFERROR(VLOOKUP(Tabla1[[#This Row],[Subtipología]],' '!BU:BV,2,0),"NO EFECTIVA")</f>
        <v>NO EFECTIVA</v>
      </c>
      <c r="L225" s="5"/>
    </row>
    <row r="226" spans="1:12" x14ac:dyDescent="0.25">
      <c r="A226" s="29">
        <v>45379</v>
      </c>
      <c r="B226" s="3" t="s">
        <v>36</v>
      </c>
      <c r="C226" s="12" t="s">
        <v>38</v>
      </c>
      <c r="D226" s="38">
        <v>2648</v>
      </c>
      <c r="E226" s="7">
        <v>1430.3333333333333</v>
      </c>
      <c r="F226" s="7">
        <v>32.409365558912384</v>
      </c>
      <c r="G22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 SIN RESPUESTA</v>
      </c>
      <c r="H226" s="44" t="str">
        <f>IF(Tabla1[[#This Row],[FILTER_1]]="CONTES","EFECTIVO","NO EFECTIVO")</f>
        <v>EFECTIVO</v>
      </c>
      <c r="I226" s="44" t="str">
        <f>LEFT(Tabla1[[#This Row],[Tipificación]],6)</f>
        <v>CONTES</v>
      </c>
      <c r="J226" s="12" t="str">
        <f>IFERROR(VLOOKUP(Tabla1[[#This Row],[Subtipología]],' '!BU:BV,2,0),"NO EFECTIVA")</f>
        <v>NO EFECTIVA</v>
      </c>
    </row>
    <row r="227" spans="1:12" x14ac:dyDescent="0.25">
      <c r="A227" s="29">
        <v>45379</v>
      </c>
      <c r="B227" s="3" t="s">
        <v>36</v>
      </c>
      <c r="C227" s="12" t="s">
        <v>39</v>
      </c>
      <c r="D227" s="38">
        <v>43182</v>
      </c>
      <c r="E227" s="7">
        <v>3547.55</v>
      </c>
      <c r="F227" s="7">
        <v>4.9292066138668886</v>
      </c>
      <c r="G227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227" s="44" t="str">
        <f>IF(Tabla1[[#This Row],[FILTER_1]]="CONTES","EFECTIVO","NO EFECTIVO")</f>
        <v>NO EFECTIVO</v>
      </c>
      <c r="I227" s="44" t="str">
        <f>LEFT(Tabla1[[#This Row],[Tipificación]],6)</f>
        <v>ERROR</v>
      </c>
      <c r="J227" s="12" t="str">
        <f>IFERROR(VLOOKUP(Tabla1[[#This Row],[Subtipología]],' '!BU:BV,2,0),"NO EFECTIVA")</f>
        <v>NO EFECTIVA</v>
      </c>
    </row>
    <row r="228" spans="1:12" x14ac:dyDescent="0.25">
      <c r="A228" s="29">
        <v>45379</v>
      </c>
      <c r="B228" s="3" t="s">
        <v>36</v>
      </c>
      <c r="C228" s="12" t="s">
        <v>40</v>
      </c>
      <c r="D228" s="38">
        <v>1823</v>
      </c>
      <c r="E228" s="7">
        <v>364.61666666666667</v>
      </c>
      <c r="F228" s="7">
        <v>12.000548546352167</v>
      </c>
      <c r="G228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28" s="44" t="str">
        <f>IF(Tabla1[[#This Row],[FILTER_1]]="CONTES","EFECTIVO","NO EFECTIVO")</f>
        <v>EFECTIVO</v>
      </c>
      <c r="I228" s="44" t="str">
        <f>LEFT(Tabla1[[#This Row],[Tipificación]],6)</f>
        <v>CONTES</v>
      </c>
      <c r="J228" s="12" t="str">
        <f>IFERROR(VLOOKUP(Tabla1[[#This Row],[Subtipología]],' '!BU:BV,2,0),"NO EFECTIVA")</f>
        <v>NO EFECTIVA</v>
      </c>
    </row>
    <row r="229" spans="1:12" x14ac:dyDescent="0.25">
      <c r="A229" s="29">
        <v>45379</v>
      </c>
      <c r="B229" s="3" t="s">
        <v>36</v>
      </c>
      <c r="C229" s="12" t="s">
        <v>41</v>
      </c>
      <c r="D229" s="38">
        <v>196</v>
      </c>
      <c r="E229" s="7">
        <v>108.25</v>
      </c>
      <c r="F229" s="7">
        <v>33.137755102040813</v>
      </c>
      <c r="G229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29" s="44" t="str">
        <f>IF(Tabla1[[#This Row],[FILTER_1]]="CONTES","EFECTIVO","NO EFECTIVO")</f>
        <v>EFECTIVO</v>
      </c>
      <c r="I229" s="44" t="str">
        <f>LEFT(Tabla1[[#This Row],[Tipificación]],6)</f>
        <v>CONTES</v>
      </c>
      <c r="J229" s="12" t="str">
        <f>IFERROR(VLOOKUP(Tabla1[[#This Row],[Subtipología]],' '!BU:BV,2,0),"NO EFECTIVA")</f>
        <v>EFECTIVA</v>
      </c>
    </row>
    <row r="230" spans="1:12" x14ac:dyDescent="0.25">
      <c r="A230" s="29">
        <v>45379</v>
      </c>
      <c r="B230" s="3" t="s">
        <v>36</v>
      </c>
      <c r="C230" s="12" t="s">
        <v>42</v>
      </c>
      <c r="D230" s="38">
        <v>652</v>
      </c>
      <c r="E230" s="7">
        <v>341.1</v>
      </c>
      <c r="F230" s="7">
        <v>31.389570552147241</v>
      </c>
      <c r="G230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30" s="44" t="str">
        <f>IF(Tabla1[[#This Row],[FILTER_1]]="CONTES","EFECTIVO","NO EFECTIVO")</f>
        <v>EFECTIVO</v>
      </c>
      <c r="I230" s="44" t="str">
        <f>LEFT(Tabla1[[#This Row],[Tipificación]],6)</f>
        <v>CONTES</v>
      </c>
      <c r="J230" s="12" t="str">
        <f>IFERROR(VLOOKUP(Tabla1[[#This Row],[Subtipología]],' '!BU:BV,2,0),"NO EFECTIVA")</f>
        <v>EFECTIVA</v>
      </c>
    </row>
    <row r="231" spans="1:12" x14ac:dyDescent="0.25">
      <c r="A231" s="29">
        <v>45379</v>
      </c>
      <c r="B231" s="3" t="s">
        <v>36</v>
      </c>
      <c r="C231" s="12" t="s">
        <v>43</v>
      </c>
      <c r="D231" s="38">
        <v>4329</v>
      </c>
      <c r="E231" s="7">
        <v>0</v>
      </c>
      <c r="G231" s="38" t="str">
        <f>IF(ISBLANK(Tabla1[[#This Row],[BOT]]),"",IF(Tabla1[[#This Row],[BOT]]="Servicebots",VLOOKUP(Tabla1[[#This Row],[Subtipología]],' '!$Q$3:$R$13,2,0),IFERROR(VLOOKUP(Tabla1[[#This Row],[Subtipología]],' '!$Q$16:$R$25,2,0),"ERROR")))</f>
        <v>ERROR</v>
      </c>
      <c r="H231" s="44" t="str">
        <f>IF(Tabla1[[#This Row],[FILTER_1]]="CONTES","EFECTIVO","NO EFECTIVO")</f>
        <v>NO EFECTIVO</v>
      </c>
      <c r="I231" s="44" t="str">
        <f>LEFT(Tabla1[[#This Row],[Tipificación]],6)</f>
        <v>ERROR</v>
      </c>
      <c r="J231" s="12" t="str">
        <f>IFERROR(VLOOKUP(Tabla1[[#This Row],[Subtipología]],' '!BU:BV,2,0),"NO EFECTIVA")</f>
        <v>NO EFECTIVA</v>
      </c>
    </row>
    <row r="232" spans="1:12" x14ac:dyDescent="0.25">
      <c r="A232" s="29">
        <v>45379</v>
      </c>
      <c r="B232" s="3" t="s">
        <v>36</v>
      </c>
      <c r="C232" s="12" t="s">
        <v>44</v>
      </c>
      <c r="D232" s="38">
        <v>7</v>
      </c>
      <c r="E232" s="7">
        <v>2.75</v>
      </c>
      <c r="F232" s="7">
        <v>23.571428571428573</v>
      </c>
      <c r="G232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32" s="44" t="str">
        <f>IF(Tabla1[[#This Row],[FILTER_1]]="CONTES","EFECTIVO","NO EFECTIVO")</f>
        <v>EFECTIVO</v>
      </c>
      <c r="I232" s="44" t="str">
        <f>LEFT(Tabla1[[#This Row],[Tipificación]],6)</f>
        <v>CONTES</v>
      </c>
      <c r="J232" s="12" t="str">
        <f>IFERROR(VLOOKUP(Tabla1[[#This Row],[Subtipología]],' '!BU:BV,2,0),"NO EFECTIVA")</f>
        <v>EFECTIVA</v>
      </c>
    </row>
    <row r="233" spans="1:12" x14ac:dyDescent="0.25">
      <c r="A233" s="29">
        <v>45379</v>
      </c>
      <c r="B233" s="3" t="s">
        <v>36</v>
      </c>
      <c r="C233" s="12" t="s">
        <v>45</v>
      </c>
      <c r="D233" s="38">
        <v>44896</v>
      </c>
      <c r="E233" s="7">
        <v>58.85</v>
      </c>
      <c r="F233" s="7">
        <v>3.5630676084762865</v>
      </c>
      <c r="G233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PARCIAL</v>
      </c>
      <c r="H233" s="44" t="str">
        <f>IF(Tabla1[[#This Row],[FILTER_1]]="CONTES","EFECTIVO","NO EFECTIVO")</f>
        <v>EFECTIVO</v>
      </c>
      <c r="I233" s="44" t="str">
        <f>LEFT(Tabla1[[#This Row],[Tipificación]],6)</f>
        <v>CONTES</v>
      </c>
      <c r="J233" s="12" t="str">
        <f>IFERROR(VLOOKUP(Tabla1[[#This Row],[Subtipología]],' '!BU:BV,2,0),"NO EFECTIVA")</f>
        <v>NO EFECTIVA</v>
      </c>
    </row>
    <row r="234" spans="1:12" x14ac:dyDescent="0.25">
      <c r="A234" s="29">
        <v>45379</v>
      </c>
      <c r="B234" s="3" t="s">
        <v>36</v>
      </c>
      <c r="C234" s="12" t="s">
        <v>46</v>
      </c>
      <c r="D234" s="38">
        <v>266</v>
      </c>
      <c r="E234" s="7">
        <v>118.26666666666667</v>
      </c>
      <c r="F234" s="7">
        <v>26.676691729323309</v>
      </c>
      <c r="G234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34" s="44" t="str">
        <f>IF(Tabla1[[#This Row],[FILTER_1]]="CONTES","EFECTIVO","NO EFECTIVO")</f>
        <v>EFECTIVO</v>
      </c>
      <c r="I234" s="44" t="str">
        <f>LEFT(Tabla1[[#This Row],[Tipificación]],6)</f>
        <v>CONTES</v>
      </c>
      <c r="J234" s="12" t="str">
        <f>IFERROR(VLOOKUP(Tabla1[[#This Row],[Subtipología]],' '!BU:BV,2,0),"NO EFECTIVA")</f>
        <v>EFECTIVA</v>
      </c>
    </row>
    <row r="235" spans="1:12" x14ac:dyDescent="0.25">
      <c r="A235" s="29">
        <v>45379</v>
      </c>
      <c r="B235" s="3" t="s">
        <v>36</v>
      </c>
      <c r="C235" s="12" t="s">
        <v>47</v>
      </c>
      <c r="D235" s="38">
        <v>1451</v>
      </c>
      <c r="E235" s="7">
        <v>1205.5833333333333</v>
      </c>
      <c r="F235" s="7">
        <v>49.851826326671258</v>
      </c>
      <c r="G235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35" s="44" t="str">
        <f>IF(Tabla1[[#This Row],[FILTER_1]]="CONTES","EFECTIVO","NO EFECTIVO")</f>
        <v>EFECTIVO</v>
      </c>
      <c r="I235" s="44" t="str">
        <f>LEFT(Tabla1[[#This Row],[Tipificación]],6)</f>
        <v>CONTES</v>
      </c>
      <c r="J235" s="12" t="str">
        <f>IFERROR(VLOOKUP(Tabla1[[#This Row],[Subtipología]],' '!BU:BV,2,0),"NO EFECTIVA")</f>
        <v>EFECTIVA</v>
      </c>
    </row>
    <row r="236" spans="1:12" x14ac:dyDescent="0.25">
      <c r="A236" s="29">
        <v>45379</v>
      </c>
      <c r="B236" s="3" t="s">
        <v>36</v>
      </c>
      <c r="C236" s="12" t="s">
        <v>48</v>
      </c>
      <c r="D236" s="38">
        <v>11</v>
      </c>
      <c r="E236" s="7">
        <v>3.8</v>
      </c>
      <c r="F236" s="7">
        <v>20.727272727272727</v>
      </c>
      <c r="G236" s="38" t="str">
        <f>IF(ISBLANK(Tabla1[[#This Row],[BOT]]),"",IF(Tabla1[[#This Row],[BOT]]="Servicebots",VLOOKUP(Tabla1[[#This Row],[Subtipología]],' '!$Q$3:$R$13,2,0),IFERROR(VLOOKUP(Tabla1[[#This Row],[Subtipología]],' '!$Q$16:$R$25,2,0),"ERROR")))</f>
        <v>CONTESTADA EFECTIVA</v>
      </c>
      <c r="H236" s="44" t="str">
        <f>IF(Tabla1[[#This Row],[FILTER_1]]="CONTES","EFECTIVO","NO EFECTIVO")</f>
        <v>EFECTIVO</v>
      </c>
      <c r="I236" s="44" t="str">
        <f>LEFT(Tabla1[[#This Row],[Tipificación]],6)</f>
        <v>CONTES</v>
      </c>
      <c r="J236" s="12" t="str">
        <f>IFERROR(VLOOKUP(Tabla1[[#This Row],[Subtipología]],' '!BU:BV,2,0),"NO EFECTIVA")</f>
        <v>EFECTIVA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84F3-1D45-4446-97CD-09BFF3553596}">
  <sheetPr codeName="Hoja7"/>
  <dimension ref="A1:Q48"/>
  <sheetViews>
    <sheetView showGridLines="0" showRowColHeaders="0" zoomScale="80" zoomScaleNormal="80" workbookViewId="0">
      <selection activeCell="C22" sqref="A1:XFD1048576"/>
    </sheetView>
  </sheetViews>
  <sheetFormatPr baseColWidth="10" defaultColWidth="0" defaultRowHeight="15" zeroHeight="1" x14ac:dyDescent="0.25"/>
  <cols>
    <col min="1" max="1" width="2.85546875" style="15" customWidth="1"/>
    <col min="2" max="2" width="4" style="33" hidden="1" customWidth="1"/>
    <col min="3" max="3" width="28.140625" style="15" customWidth="1"/>
    <col min="4" max="4" width="14" style="15" customWidth="1"/>
    <col min="5" max="5" width="11.42578125" style="22" customWidth="1"/>
    <col min="6" max="7" width="11.42578125" style="15" customWidth="1"/>
    <col min="8" max="8" width="26.5703125" style="15" customWidth="1"/>
    <col min="9" max="15" width="11.42578125" style="15" customWidth="1"/>
    <col min="16" max="16" width="6.140625" style="15" customWidth="1"/>
    <col min="17" max="17" width="0" style="15" hidden="1" customWidth="1"/>
    <col min="18" max="16384" width="11.42578125" style="15" hidden="1"/>
  </cols>
  <sheetData>
    <row r="1" spans="1:16" x14ac:dyDescent="0.25">
      <c r="B1" s="26">
        <f>SUM(Tabla2[REGISTROS])</f>
        <v>99737</v>
      </c>
      <c r="C1" s="26">
        <f>SUM(Tabla24[REGISTROS])</f>
        <v>99737</v>
      </c>
    </row>
    <row r="2" spans="1:16" x14ac:dyDescent="0.25"/>
    <row r="3" spans="1:16" x14ac:dyDescent="0.25"/>
    <row r="4" spans="1:16" x14ac:dyDescent="0.25"/>
    <row r="5" spans="1:16" x14ac:dyDescent="0.25"/>
    <row r="6" spans="1:16" x14ac:dyDescent="0.25"/>
    <row r="7" spans="1:16" x14ac:dyDescent="0.25"/>
    <row r="8" spans="1:16" ht="9.75" customHeight="1" x14ac:dyDescent="0.25"/>
    <row r="9" spans="1:16" x14ac:dyDescent="0.25"/>
    <row r="10" spans="1:16" s="16" customFormat="1" ht="23.1" customHeight="1" x14ac:dyDescent="0.25">
      <c r="A10" s="23"/>
      <c r="B10" s="34"/>
      <c r="C10" s="19" t="s">
        <v>5</v>
      </c>
      <c r="D10" s="19" t="s">
        <v>6</v>
      </c>
      <c r="E10" s="20" t="s">
        <v>14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</row>
    <row r="11" spans="1:16" s="16" customFormat="1" ht="23.1" customHeight="1" x14ac:dyDescent="0.25">
      <c r="A11" s="23"/>
      <c r="B11" s="34">
        <v>5</v>
      </c>
      <c r="C11" s="16" t="str">
        <f>IFERROR(VLOOKUP(B11,' '!$A$2:$D$6,2,0),"-")</f>
        <v>CONTESTADA PARCIAL</v>
      </c>
      <c r="D11" s="37">
        <f>IFERROR(VLOOKUP(Tabla24[[#This Row],[ESTADOS]],' '!$B$2:$D$6,2,0),0)</f>
        <v>47843</v>
      </c>
      <c r="E11" s="18">
        <f>IFERROR(((Tabla24[[#This Row],[REGISTROS]]*100)/$C$1)/100,0)</f>
        <v>0.47969158887875113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16" s="16" customFormat="1" ht="23.1" customHeight="1" x14ac:dyDescent="0.25">
      <c r="A12" s="23"/>
      <c r="B12" s="34">
        <v>4</v>
      </c>
      <c r="C12" s="16" t="str">
        <f>IFERROR(VLOOKUP(B12,' '!$A$2:$D$6,2,0),"-")</f>
        <v>ERROR</v>
      </c>
      <c r="D12" s="37">
        <f>IFERROR(VLOOKUP(Tabla24[[#This Row],[ESTADOS]],' '!$B$2:$D$6,2,0),0)</f>
        <v>47511</v>
      </c>
      <c r="E12" s="18">
        <f>IFERROR(((Tabla24[[#This Row],[REGISTROS]]*100)/$C$1)/100,0)</f>
        <v>0.47636283425408826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16" s="16" customFormat="1" ht="23.1" customHeight="1" x14ac:dyDescent="0.25">
      <c r="A13" s="23"/>
      <c r="B13" s="34">
        <v>3</v>
      </c>
      <c r="C13" s="16" t="str">
        <f>IFERROR(VLOOKUP(B13,' '!$A$2:$D$6,2,0),"-")</f>
        <v>CONTESTA SIN RESPUESTA</v>
      </c>
      <c r="D13" s="37">
        <f>IFERROR(VLOOKUP(Tabla24[[#This Row],[ESTADOS]],' '!$B$2:$D$6,2,0),0)</f>
        <v>2648</v>
      </c>
      <c r="E13" s="18">
        <f>IFERROR(((Tabla24[[#This Row],[REGISTROS]]*100)/$C$1)/100,0)</f>
        <v>2.6549826042491755E-2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s="16" customFormat="1" ht="23.1" customHeight="1" x14ac:dyDescent="0.25">
      <c r="A14" s="23"/>
      <c r="B14" s="34">
        <v>2</v>
      </c>
      <c r="C14" s="16" t="str">
        <f>IFERROR(VLOOKUP(B14,' '!$A$2:$D$6,2,0),"-")</f>
        <v>CONTESTADA EFECTIVA</v>
      </c>
      <c r="D14" s="37">
        <f>IFERROR(VLOOKUP(Tabla24[[#This Row],[ESTADOS]],' '!$B$2:$D$6,2,0),0)</f>
        <v>1735</v>
      </c>
      <c r="E14" s="18">
        <f>IFERROR(((Tabla24[[#This Row],[REGISTROS]]*100)/$C$1)/100,0)</f>
        <v>1.739575082466888E-2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16" s="16" customFormat="1" ht="23.1" customHeight="1" x14ac:dyDescent="0.25">
      <c r="A15" s="23"/>
      <c r="B15" s="34">
        <v>1</v>
      </c>
      <c r="C15" s="16" t="str">
        <f>IFERROR(VLOOKUP(B15,' '!$A$2:$D$6,2,0),"-")</f>
        <v>-</v>
      </c>
      <c r="D15" s="37" t="str">
        <f>IFERROR(VLOOKUP(Tabla24[[#This Row],[ESTADOS]],' '!$B$2:$D$6,2,0),0)</f>
        <v>0</v>
      </c>
      <c r="E15" s="18">
        <f>IFERROR(((Tabla24[[#This Row],[REGISTROS]]*100)/$C$1)/100,0)</f>
        <v>0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16" s="23" customFormat="1" x14ac:dyDescent="0.25">
      <c r="B16" s="34"/>
      <c r="D16" s="24"/>
      <c r="E16" s="25"/>
    </row>
    <row r="17" spans="1:16" s="23" customFormat="1" x14ac:dyDescent="0.25">
      <c r="B17" s="34"/>
      <c r="E17" s="25"/>
    </row>
    <row r="18" spans="1:16" s="16" customFormat="1" ht="23.1" customHeight="1" x14ac:dyDescent="0.25">
      <c r="A18" s="23"/>
      <c r="B18" s="34"/>
      <c r="C18" s="19" t="s">
        <v>15</v>
      </c>
      <c r="D18" s="21" t="s">
        <v>6</v>
      </c>
      <c r="E18" s="20" t="s">
        <v>14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1:16" s="16" customFormat="1" ht="23.1" customHeight="1" x14ac:dyDescent="0.25">
      <c r="A19" s="23"/>
      <c r="B19" s="34"/>
      <c r="C19" s="16" t="s">
        <v>3</v>
      </c>
      <c r="D19" s="17">
        <f>' '!I4</f>
        <v>52226</v>
      </c>
      <c r="E19" s="18">
        <f>IFERROR(((Tabla2[[#This Row],[REGISTROS]]*100)/$B$1)/100,0)</f>
        <v>0.52363716574591168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1:16" s="16" customFormat="1" ht="23.1" customHeight="1" x14ac:dyDescent="0.25">
      <c r="A20" s="23"/>
      <c r="B20" s="34"/>
      <c r="C20" s="16" t="s">
        <v>11</v>
      </c>
      <c r="D20" s="17">
        <f>' '!I5</f>
        <v>47511</v>
      </c>
      <c r="E20" s="18">
        <f>IFERROR(((Tabla2[[#This Row],[REGISTROS]]*100)/$B$1)/100,0)</f>
        <v>0.47636283425408826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1:16" s="23" customFormat="1" x14ac:dyDescent="0.25">
      <c r="B21" s="34"/>
      <c r="D21" s="24"/>
      <c r="E21" s="25"/>
    </row>
    <row r="22" spans="1:16" x14ac:dyDescent="0.25"/>
    <row r="23" spans="1:16" x14ac:dyDescent="0.25"/>
    <row r="24" spans="1:16" x14ac:dyDescent="0.25"/>
    <row r="25" spans="1:16" x14ac:dyDescent="0.25"/>
    <row r="26" spans="1:16" x14ac:dyDescent="0.25"/>
    <row r="27" spans="1:16" x14ac:dyDescent="0.25"/>
    <row r="28" spans="1:16" x14ac:dyDescent="0.25"/>
    <row r="29" spans="1:16" x14ac:dyDescent="0.25"/>
    <row r="30" spans="1:16" x14ac:dyDescent="0.25"/>
    <row r="31" spans="1:16" x14ac:dyDescent="0.25"/>
    <row r="32" spans="1:1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</sheetData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F994DAA-28F8-48FE-BD16-E0957ACA60C3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D11:D15</xm:sqref>
        </x14:conditionalFormatting>
      </x14:conditionalFormattings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9414-F0E8-4FE9-B199-3FE05DE0BA9A}">
  <sheetPr codeName="Hoja1"/>
  <dimension ref="A1:AA79"/>
  <sheetViews>
    <sheetView showGridLines="0" showRowColHeaders="0" tabSelected="1" topLeftCell="A7" zoomScale="70" zoomScaleNormal="70" workbookViewId="0">
      <selection activeCell="U79" sqref="U79"/>
    </sheetView>
  </sheetViews>
  <sheetFormatPr baseColWidth="10" defaultColWidth="0" defaultRowHeight="15" zeroHeight="1" x14ac:dyDescent="0.25"/>
  <cols>
    <col min="1" max="1" width="4.42578125" style="15" customWidth="1"/>
    <col min="2" max="18" width="11.42578125" style="15" customWidth="1"/>
    <col min="19" max="19" width="5.85546875" style="15" customWidth="1"/>
    <col min="20" max="26" width="11.42578125" style="15" customWidth="1"/>
    <col min="27" max="27" width="7.5703125" style="15" customWidth="1"/>
    <col min="28" max="16384" width="11.42578125" style="1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</sheetData>
  <pageMargins left="0.7" right="0.7" top="0.75" bottom="0.75" header="0.3" footer="0.3"/>
  <pageSetup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</vt:lpstr>
      <vt:lpstr>Dahsboard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Coordinador Operativo</dc:creator>
  <cp:lastModifiedBy>JU4N D4V1D</cp:lastModifiedBy>
  <dcterms:created xsi:type="dcterms:W3CDTF">2024-03-11T15:50:22Z</dcterms:created>
  <dcterms:modified xsi:type="dcterms:W3CDTF">2024-04-15T01:52:26Z</dcterms:modified>
</cp:coreProperties>
</file>